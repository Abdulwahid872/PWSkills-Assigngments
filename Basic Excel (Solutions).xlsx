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Users\abdul\OneDrive\Desktop\Notes for DA\"/>
    </mc:Choice>
  </mc:AlternateContent>
  <xr:revisionPtr revIDLastSave="0" documentId="8_{58D4DBDF-AF0D-42C2-9210-06E01EDAEA29}" xr6:coauthVersionLast="47" xr6:coauthVersionMax="47" xr10:uidLastSave="{00000000-0000-0000-0000-000000000000}"/>
  <bookViews>
    <workbookView xWindow="-108" yWindow="-108" windowWidth="23256" windowHeight="12456" xr2:uid="{1826EFF4-6FCA-44F2-B968-83C8A07EC6E0}"/>
  </bookViews>
  <sheets>
    <sheet name="Sheet1" sheetId="1" r:id="rId1"/>
  </sheets>
  <calcPr calcId="191029"/>
  <pivotCaches>
    <pivotCache cacheId="7" r:id="rId2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K10" i="1" l="1" a="1"/>
  <c r="K10" i="1" s="1"/>
  <c r="K4" i="1"/>
  <c r="H2" i="1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<sst xmlns="http://schemas.openxmlformats.org/spreadsheetml/2006/main" count="230" uniqueCount="128">
  <si>
    <t>OrderID</t>
  </si>
  <si>
    <t>CustomerName</t>
  </si>
  <si>
    <t>Region</t>
  </si>
  <si>
    <t>Product</t>
  </si>
  <si>
    <t>Quantity</t>
  </si>
  <si>
    <t>UnitPrice</t>
  </si>
  <si>
    <t>OrderDate</t>
  </si>
  <si>
    <t>Amit Sharma</t>
  </si>
  <si>
    <t>North</t>
  </si>
  <si>
    <t>Notebook</t>
  </si>
  <si>
    <t>Neha Verma</t>
  </si>
  <si>
    <t>South</t>
  </si>
  <si>
    <t>Pen</t>
  </si>
  <si>
    <t>Rahul Singh</t>
  </si>
  <si>
    <t>East</t>
  </si>
  <si>
    <t>Marker</t>
  </si>
  <si>
    <t>Pooja Mehta</t>
  </si>
  <si>
    <t>West</t>
  </si>
  <si>
    <t>Ankit Jain</t>
  </si>
  <si>
    <t>Pencil</t>
  </si>
  <si>
    <t>Sneha Patel</t>
  </si>
  <si>
    <t>Vikas Gupta</t>
  </si>
  <si>
    <t>Eraser</t>
  </si>
  <si>
    <t>Meera Nair</t>
  </si>
  <si>
    <t>Anjali Rao</t>
  </si>
  <si>
    <t>Manoj Das</t>
  </si>
  <si>
    <t>Ritika Sen</t>
  </si>
  <si>
    <t>Karan Malhotra</t>
  </si>
  <si>
    <t>Aryan Joshi</t>
  </si>
  <si>
    <t>Divya Kapoor</t>
  </si>
  <si>
    <t>Sahil Arora</t>
  </si>
  <si>
    <t>Muskan Jain</t>
  </si>
  <si>
    <t>Rohan Gupta</t>
  </si>
  <si>
    <t>Nidhi Sharma</t>
  </si>
  <si>
    <t>Tarun Verma</t>
  </si>
  <si>
    <t>Simran Kaur</t>
  </si>
  <si>
    <t>Deepak Rao</t>
  </si>
  <si>
    <t>Payal Mehta</t>
  </si>
  <si>
    <t>Aditya Singh</t>
  </si>
  <si>
    <t>Shreya Nair</t>
  </si>
  <si>
    <t>Sanjay Kumar</t>
  </si>
  <si>
    <t>Aarti Sharma</t>
  </si>
  <si>
    <t>Rajesh Patel</t>
  </si>
  <si>
    <t>Preeti Joshi</t>
  </si>
  <si>
    <t>Anurag Mishra</t>
  </si>
  <si>
    <t>Sanya Kapoor</t>
  </si>
  <si>
    <t>Harsh Yadav</t>
  </si>
  <si>
    <t>Kajal Rani</t>
  </si>
  <si>
    <t>Varun Sharma</t>
  </si>
  <si>
    <t>Swati Arora</t>
  </si>
  <si>
    <t>Akhil Jain</t>
  </si>
  <si>
    <t>Priyanka Das</t>
  </si>
  <si>
    <t>Ravi Nair</t>
  </si>
  <si>
    <t>Komal Singh</t>
  </si>
  <si>
    <t>Ayesha Khan</t>
  </si>
  <si>
    <t>Arjun Mehta</t>
  </si>
  <si>
    <t>Sonali Gupta</t>
  </si>
  <si>
    <t>Neeraj Kapoor</t>
  </si>
  <si>
    <t>Shruti Sharma</t>
  </si>
  <si>
    <t>Yash Arora</t>
  </si>
  <si>
    <t>Manish Das</t>
  </si>
  <si>
    <t>Rupal Nair</t>
  </si>
  <si>
    <t>Sonia Verma</t>
  </si>
  <si>
    <t>Kunal Singh</t>
  </si>
  <si>
    <t>Ritika Jain</t>
  </si>
  <si>
    <t>Vivek Malhotra</t>
  </si>
  <si>
    <t>Total Sales</t>
  </si>
  <si>
    <t>Q4. Count how many customer names are recorded.</t>
  </si>
  <si>
    <t xml:space="preserve">Ans: </t>
  </si>
  <si>
    <t xml:space="preserve">Q5. Calculate the total sales for each row using a formula </t>
  </si>
  <si>
    <t>Ans:</t>
  </si>
  <si>
    <t>Column H (toatl Sales)</t>
  </si>
  <si>
    <t xml:space="preserve">Q6. Calculate the total sales of notebooks in north region only. </t>
  </si>
  <si>
    <t>Q7. Create a column chart showing total sales by product.</t>
  </si>
  <si>
    <t>Row Labels</t>
  </si>
  <si>
    <t>Grand Total</t>
  </si>
  <si>
    <t>Sum of Total Sales</t>
  </si>
  <si>
    <t xml:space="preserve">Q8. Insert a line chart showing daily sales trend. </t>
  </si>
  <si>
    <t>05-Jan</t>
  </si>
  <si>
    <t>06-Jan</t>
  </si>
  <si>
    <t>07-Jan</t>
  </si>
  <si>
    <t>08-Jan</t>
  </si>
  <si>
    <t>10-Jan</t>
  </si>
  <si>
    <t>11-Jan</t>
  </si>
  <si>
    <t>13-Jan</t>
  </si>
  <si>
    <t>15-Jan</t>
  </si>
  <si>
    <t>17-Jan</t>
  </si>
  <si>
    <t>18-Jan</t>
  </si>
  <si>
    <t>19-Jan</t>
  </si>
  <si>
    <t>20-Jan</t>
  </si>
  <si>
    <t>22-Jan</t>
  </si>
  <si>
    <t>23-Jan</t>
  </si>
  <si>
    <t>24-Jan</t>
  </si>
  <si>
    <t>26-Jan</t>
  </si>
  <si>
    <t>28-Jan</t>
  </si>
  <si>
    <t>29-Jan</t>
  </si>
  <si>
    <t>30-Jan</t>
  </si>
  <si>
    <t>01-Feb</t>
  </si>
  <si>
    <t>02-Feb</t>
  </si>
  <si>
    <t>03-Feb</t>
  </si>
  <si>
    <t>04-Feb</t>
  </si>
  <si>
    <t>06-Feb</t>
  </si>
  <si>
    <t>07-Feb</t>
  </si>
  <si>
    <t>08-Feb</t>
  </si>
  <si>
    <t>09-Feb</t>
  </si>
  <si>
    <t>10-Feb</t>
  </si>
  <si>
    <t>12-Feb</t>
  </si>
  <si>
    <t>13-Feb</t>
  </si>
  <si>
    <t>14-Feb</t>
  </si>
  <si>
    <t>16-Feb</t>
  </si>
  <si>
    <t>17-Feb</t>
  </si>
  <si>
    <t>18-Feb</t>
  </si>
  <si>
    <t>19-Feb</t>
  </si>
  <si>
    <t>21-Feb</t>
  </si>
  <si>
    <t>22-Feb</t>
  </si>
  <si>
    <t>23-Feb</t>
  </si>
  <si>
    <t>25-Feb</t>
  </si>
  <si>
    <t>26-Feb</t>
  </si>
  <si>
    <t>27-Feb</t>
  </si>
  <si>
    <t>28-Feb</t>
  </si>
  <si>
    <t>01-Mar</t>
  </si>
  <si>
    <t>02-Mar</t>
  </si>
  <si>
    <t>03-Mar</t>
  </si>
  <si>
    <t>04-Mar</t>
  </si>
  <si>
    <t>05-Mar</t>
  </si>
  <si>
    <t>06-Mar</t>
  </si>
  <si>
    <t>07-Mar</t>
  </si>
  <si>
    <t>08-Mar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</si>
</sst>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rgb="FF2F5597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14" fontId="0" fillId="0" borderId="0" xfId="0" applyNumberFormat="1"/>
    <xf numFmtId="0" fontId="1" fillId="0" borderId="0" xfId="0" applyFont="1"/>
    <xf numFmtId="0" fontId="2" fillId="0" borderId="0" xfId="0" applyFon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14" fontId="0" fillId="0" borderId="0" xfId="0" applyNumberFormat="1" applyAlignment="1">
      <alignment horizontal="left"/>
    </xf>
  </cellXfs>
  <cellStyles count="1">
    <cellStyle name="Normal" xfId="0" builtinId="0"/>
  </cellStyles>
  <dxfs count="2">
    <dxf>
      <numFmt numFmtId="0" formatCode="General"/>
    </dxf>
    <dxf>
      <numFmt numFmtId="19" formatCode="d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pivotCacheDefinition" Target="pivotCache/pivotCacheDefinition1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[Basic Excel (Solutions).xlsx]Sheet1!PivotTable2</c:name>
    <c:fmtId val="1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Sheet1!$R$13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Sheet1!$Q$14:$Q$19</c:f>
              <c:strCache>
                <c:ptCount val="5"/>
                <c:pt idx="0">
                  <c:v>Eraser</c:v>
                </c:pt>
                <c:pt idx="1">
                  <c:v>Marker</c:v>
                </c:pt>
                <c:pt idx="2">
                  <c:v>Notebook</c:v>
                </c:pt>
                <c:pt idx="3">
                  <c:v>Pen</c:v>
                </c:pt>
                <c:pt idx="4">
                  <c:v>Pencil</c:v>
                </c:pt>
              </c:strCache>
            </c:strRef>
          </c:cat>
          <c:val>
            <c:numRef>
              <c:f>Sheet1!$R$14:$R$19</c:f>
              <c:numCache>
                <c:formatCode>General</c:formatCode>
                <c:ptCount val="5"/>
                <c:pt idx="0">
                  <c:v>1928</c:v>
                </c:pt>
                <c:pt idx="1">
                  <c:v>3650</c:v>
                </c:pt>
                <c:pt idx="2">
                  <c:v>7550</c:v>
                </c:pt>
                <c:pt idx="3">
                  <c:v>2180</c:v>
                </c:pt>
                <c:pt idx="4">
                  <c:v>1235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3D8-4564-981C-FB842A01E90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258438975"/>
        <c:axId val="1259324383"/>
      </c:barChart>
      <c:catAx>
        <c:axId val="125843897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59324383"/>
        <c:crosses val="autoZero"/>
        <c:auto val="1"/>
        <c:lblAlgn val="ctr"/>
        <c:lblOffset val="100"/>
        <c:noMultiLvlLbl val="0"/>
      </c:catAx>
      <c:valAx>
        <c:axId val="125932438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5843897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[Basic Excel (Solutions).xlsx]Sheet1!PivotTable3</c:name>
    <c:fmtId val="14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Sheet1!$R$30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Sheet1!$Q$31:$Q$81</c:f>
              <c:strCache>
                <c:ptCount val="50"/>
                <c:pt idx="0">
                  <c:v>05-Jan</c:v>
                </c:pt>
                <c:pt idx="1">
                  <c:v>06-Jan</c:v>
                </c:pt>
                <c:pt idx="2">
                  <c:v>07-Jan</c:v>
                </c:pt>
                <c:pt idx="3">
                  <c:v>08-Jan</c:v>
                </c:pt>
                <c:pt idx="4">
                  <c:v>10-Jan</c:v>
                </c:pt>
                <c:pt idx="5">
                  <c:v>11-Jan</c:v>
                </c:pt>
                <c:pt idx="6">
                  <c:v>13-Jan</c:v>
                </c:pt>
                <c:pt idx="7">
                  <c:v>15-Jan</c:v>
                </c:pt>
                <c:pt idx="8">
                  <c:v>17-Jan</c:v>
                </c:pt>
                <c:pt idx="9">
                  <c:v>18-Jan</c:v>
                </c:pt>
                <c:pt idx="10">
                  <c:v>19-Jan</c:v>
                </c:pt>
                <c:pt idx="11">
                  <c:v>20-Jan</c:v>
                </c:pt>
                <c:pt idx="12">
                  <c:v>22-Jan</c:v>
                </c:pt>
                <c:pt idx="13">
                  <c:v>23-Jan</c:v>
                </c:pt>
                <c:pt idx="14">
                  <c:v>24-Jan</c:v>
                </c:pt>
                <c:pt idx="15">
                  <c:v>26-Jan</c:v>
                </c:pt>
                <c:pt idx="16">
                  <c:v>28-Jan</c:v>
                </c:pt>
                <c:pt idx="17">
                  <c:v>29-Jan</c:v>
                </c:pt>
                <c:pt idx="18">
                  <c:v>30-Jan</c:v>
                </c:pt>
                <c:pt idx="19">
                  <c:v>01-Feb</c:v>
                </c:pt>
                <c:pt idx="20">
                  <c:v>02-Feb</c:v>
                </c:pt>
                <c:pt idx="21">
                  <c:v>03-Feb</c:v>
                </c:pt>
                <c:pt idx="22">
                  <c:v>04-Feb</c:v>
                </c:pt>
                <c:pt idx="23">
                  <c:v>06-Feb</c:v>
                </c:pt>
                <c:pt idx="24">
                  <c:v>07-Feb</c:v>
                </c:pt>
                <c:pt idx="25">
                  <c:v>08-Feb</c:v>
                </c:pt>
                <c:pt idx="26">
                  <c:v>09-Feb</c:v>
                </c:pt>
                <c:pt idx="27">
                  <c:v>10-Feb</c:v>
                </c:pt>
                <c:pt idx="28">
                  <c:v>12-Feb</c:v>
                </c:pt>
                <c:pt idx="29">
                  <c:v>13-Feb</c:v>
                </c:pt>
                <c:pt idx="30">
                  <c:v>14-Feb</c:v>
                </c:pt>
                <c:pt idx="31">
                  <c:v>16-Feb</c:v>
                </c:pt>
                <c:pt idx="32">
                  <c:v>17-Feb</c:v>
                </c:pt>
                <c:pt idx="33">
                  <c:v>18-Feb</c:v>
                </c:pt>
                <c:pt idx="34">
                  <c:v>19-Feb</c:v>
                </c:pt>
                <c:pt idx="35">
                  <c:v>21-Feb</c:v>
                </c:pt>
                <c:pt idx="36">
                  <c:v>22-Feb</c:v>
                </c:pt>
                <c:pt idx="37">
                  <c:v>23-Feb</c:v>
                </c:pt>
                <c:pt idx="38">
                  <c:v>25-Feb</c:v>
                </c:pt>
                <c:pt idx="39">
                  <c:v>26-Feb</c:v>
                </c:pt>
                <c:pt idx="40">
                  <c:v>27-Feb</c:v>
                </c:pt>
                <c:pt idx="41">
                  <c:v>28-Feb</c:v>
                </c:pt>
                <c:pt idx="42">
                  <c:v>01-Mar</c:v>
                </c:pt>
                <c:pt idx="43">
                  <c:v>02-Mar</c:v>
                </c:pt>
                <c:pt idx="44">
                  <c:v>03-Mar</c:v>
                </c:pt>
                <c:pt idx="45">
                  <c:v>04-Mar</c:v>
                </c:pt>
                <c:pt idx="46">
                  <c:v>05-Mar</c:v>
                </c:pt>
                <c:pt idx="47">
                  <c:v>06-Mar</c:v>
                </c:pt>
                <c:pt idx="48">
                  <c:v>07-Mar</c:v>
                </c:pt>
                <c:pt idx="49">
                  <c:v>08-Mar</c:v>
                </c:pt>
              </c:strCache>
            </c:strRef>
          </c:cat>
          <c:val>
            <c:numRef>
              <c:f>Sheet1!$R$31:$R$81</c:f>
              <c:numCache>
                <c:formatCode>General</c:formatCode>
                <c:ptCount val="50"/>
                <c:pt idx="0">
                  <c:v>500</c:v>
                </c:pt>
                <c:pt idx="1">
                  <c:v>200</c:v>
                </c:pt>
                <c:pt idx="2">
                  <c:v>375</c:v>
                </c:pt>
                <c:pt idx="3">
                  <c:v>250</c:v>
                </c:pt>
                <c:pt idx="4">
                  <c:v>150</c:v>
                </c:pt>
                <c:pt idx="5">
                  <c:v>600</c:v>
                </c:pt>
                <c:pt idx="6">
                  <c:v>200</c:v>
                </c:pt>
                <c:pt idx="7">
                  <c:v>180</c:v>
                </c:pt>
                <c:pt idx="8">
                  <c:v>550</c:v>
                </c:pt>
                <c:pt idx="9">
                  <c:v>400</c:v>
                </c:pt>
                <c:pt idx="10">
                  <c:v>200</c:v>
                </c:pt>
                <c:pt idx="11">
                  <c:v>280</c:v>
                </c:pt>
                <c:pt idx="12">
                  <c:v>700</c:v>
                </c:pt>
                <c:pt idx="13">
                  <c:v>280</c:v>
                </c:pt>
                <c:pt idx="14">
                  <c:v>300</c:v>
                </c:pt>
                <c:pt idx="15">
                  <c:v>125</c:v>
                </c:pt>
                <c:pt idx="16">
                  <c:v>160</c:v>
                </c:pt>
                <c:pt idx="17">
                  <c:v>500</c:v>
                </c:pt>
                <c:pt idx="18">
                  <c:v>150</c:v>
                </c:pt>
                <c:pt idx="19">
                  <c:v>450</c:v>
                </c:pt>
                <c:pt idx="20">
                  <c:v>450</c:v>
                </c:pt>
                <c:pt idx="21">
                  <c:v>175</c:v>
                </c:pt>
                <c:pt idx="22">
                  <c:v>240</c:v>
                </c:pt>
                <c:pt idx="23">
                  <c:v>550</c:v>
                </c:pt>
                <c:pt idx="24">
                  <c:v>140</c:v>
                </c:pt>
                <c:pt idx="25">
                  <c:v>400</c:v>
                </c:pt>
                <c:pt idx="26">
                  <c:v>110</c:v>
                </c:pt>
                <c:pt idx="27">
                  <c:v>216</c:v>
                </c:pt>
                <c:pt idx="28">
                  <c:v>650</c:v>
                </c:pt>
                <c:pt idx="29">
                  <c:v>320</c:v>
                </c:pt>
                <c:pt idx="30">
                  <c:v>250</c:v>
                </c:pt>
                <c:pt idx="31">
                  <c:v>90</c:v>
                </c:pt>
                <c:pt idx="32">
                  <c:v>176</c:v>
                </c:pt>
                <c:pt idx="33">
                  <c:v>850</c:v>
                </c:pt>
                <c:pt idx="34">
                  <c:v>190</c:v>
                </c:pt>
                <c:pt idx="35">
                  <c:v>375</c:v>
                </c:pt>
                <c:pt idx="36">
                  <c:v>140</c:v>
                </c:pt>
                <c:pt idx="37">
                  <c:v>192</c:v>
                </c:pt>
                <c:pt idx="38">
                  <c:v>800</c:v>
                </c:pt>
                <c:pt idx="39">
                  <c:v>270</c:v>
                </c:pt>
                <c:pt idx="40">
                  <c:v>525</c:v>
                </c:pt>
                <c:pt idx="41">
                  <c:v>150</c:v>
                </c:pt>
                <c:pt idx="42">
                  <c:v>208</c:v>
                </c:pt>
                <c:pt idx="43">
                  <c:v>700</c:v>
                </c:pt>
                <c:pt idx="44">
                  <c:v>200</c:v>
                </c:pt>
                <c:pt idx="45">
                  <c:v>425</c:v>
                </c:pt>
                <c:pt idx="46">
                  <c:v>95</c:v>
                </c:pt>
                <c:pt idx="47">
                  <c:v>256</c:v>
                </c:pt>
                <c:pt idx="48">
                  <c:v>600</c:v>
                </c:pt>
                <c:pt idx="49">
                  <c:v>250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9FC-45B5-ABFF-422744CFF1B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49142303"/>
        <c:axId val="1349143135"/>
      </c:lineChart>
      <c:catAx>
        <c:axId val="13491423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49143135"/>
        <c:crosses val="autoZero"/>
        <c:auto val="1"/>
        <c:lblAlgn val="ctr"/>
        <c:lblOffset val="100"/>
        <c:noMultiLvlLbl val="0"/>
      </c:catAx>
      <c:valAx>
        <c:axId val="13491431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4914230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601980</xdr:colOff>
      <xdr:row>13</xdr:row>
      <xdr:rowOff>0</xdr:rowOff>
    </xdr:from>
    <xdr:to>
      <xdr:col>15</xdr:col>
      <xdr:colOff>594360</xdr:colOff>
      <xdr:row>27</xdr:row>
      <xdr:rowOff>7620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CE584D7-FC67-4587-BC7A-E0F5B0C98BE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579120</xdr:colOff>
      <xdr:row>29</xdr:row>
      <xdr:rowOff>167640</xdr:rowOff>
    </xdr:from>
    <xdr:to>
      <xdr:col>15</xdr:col>
      <xdr:colOff>579120</xdr:colOff>
      <xdr:row>44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83BFFE2A-6823-44F2-B8AB-C452C174147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bdul Wahid Hussain" refreshedDate="46069.038514467589" createdVersion="7" refreshedVersion="7" minRefreshableVersion="3" recordCount="50" xr:uid="{673A3CB6-6336-4159-B81D-6B6569AB7B1A}">
  <cacheSource type="worksheet">
    <worksheetSource name="Table1"/>
  </cacheSource>
  <cacheFields count="9">
    <cacheField name="OrderID" numFmtId="0">
      <sharedItems containsSemiMixedTypes="0" containsString="0" containsNumber="1" containsInteger="1" minValue="1001" maxValue="1050"/>
    </cacheField>
    <cacheField name="CustomerName" numFmtId="0">
      <sharedItems/>
    </cacheField>
    <cacheField name="Region" numFmtId="0">
      <sharedItems/>
    </cacheField>
    <cacheField name="Product" numFmtId="0">
      <sharedItems count="5">
        <s v="Notebook"/>
        <s v="Pen"/>
        <s v="Marker"/>
        <s v="Pencil"/>
        <s v="Eraser"/>
      </sharedItems>
    </cacheField>
    <cacheField name="Quantity" numFmtId="0">
      <sharedItems containsSemiMixedTypes="0" containsString="0" containsNumber="1" containsInteger="1" minValue="5" maxValue="40"/>
    </cacheField>
    <cacheField name="UnitPrice" numFmtId="0">
      <sharedItems containsSemiMixedTypes="0" containsString="0" containsNumber="1" containsInteger="1" minValue="5" maxValue="50"/>
    </cacheField>
    <cacheField name="OrderDate" numFmtId="14">
      <sharedItems containsSemiMixedTypes="0" containsNonDate="0" containsDate="1" containsString="0" minDate="2024-01-05T00:00:00" maxDate="2024-03-09T00:00:00" count="50">
        <d v="2024-01-05T00:00:00"/>
        <d v="2024-01-06T00:00:00"/>
        <d v="2024-01-07T00:00:00"/>
        <d v="2024-01-08T00:00:00"/>
        <d v="2024-01-10T00:00:00"/>
        <d v="2024-01-11T00:00:00"/>
        <d v="2024-01-13T00:00:00"/>
        <d v="2024-01-15T00:00:00"/>
        <d v="2024-01-17T00:00:00"/>
        <d v="2024-01-18T00:00:00"/>
        <d v="2024-01-19T00:00:00"/>
        <d v="2024-01-20T00:00:00"/>
        <d v="2024-01-22T00:00:00"/>
        <d v="2024-01-23T00:00:00"/>
        <d v="2024-01-24T00:00:00"/>
        <d v="2024-01-26T00:00:00"/>
        <d v="2024-01-28T00:00:00"/>
        <d v="2024-01-29T00:00:00"/>
        <d v="2024-01-30T00:00:00"/>
        <d v="2024-02-01T00:00:00"/>
        <d v="2024-02-02T00:00:00"/>
        <d v="2024-02-03T00:00:00"/>
        <d v="2024-02-04T00:00:00"/>
        <d v="2024-02-06T00:00:00"/>
        <d v="2024-02-07T00:00:00"/>
        <d v="2024-02-08T00:00:00"/>
        <d v="2024-02-09T00:00:00"/>
        <d v="2024-02-10T00:00:00"/>
        <d v="2024-02-12T00:00:00"/>
        <d v="2024-02-13T00:00:00"/>
        <d v="2024-02-14T00:00:00"/>
        <d v="2024-02-16T00:00:00"/>
        <d v="2024-02-17T00:00:00"/>
        <d v="2024-02-18T00:00:00"/>
        <d v="2024-02-19T00:00:00"/>
        <d v="2024-02-21T00:00:00"/>
        <d v="2024-02-22T00:00:00"/>
        <d v="2024-02-23T00:00:00"/>
        <d v="2024-02-25T00:00:00"/>
        <d v="2024-02-26T00:00:00"/>
        <d v="2024-02-27T00:00:00"/>
        <d v="2024-02-28T00:00:00"/>
        <d v="2024-03-01T00:00:00"/>
        <d v="2024-03-02T00:00:00"/>
        <d v="2024-03-03T00:00:00"/>
        <d v="2024-03-04T00:00:00"/>
        <d v="2024-03-05T00:00:00"/>
        <d v="2024-03-06T00:00:00"/>
        <d v="2024-03-07T00:00:00"/>
        <d v="2024-03-08T00:00:00"/>
      </sharedItems>
      <fieldGroup par="8" base="6">
        <rangePr groupBy="days" startDate="2024-01-05T00:00:00" endDate="2024-03-09T00:00:00"/>
        <groupItems count="368">
          <s v="&lt;05-01-2024"/>
          <s v="01-Jan"/>
          <s v="02-Jan"/>
          <s v="03-Jan"/>
          <s v="04-Jan"/>
          <s v="05-Jan"/>
          <s v="06-Jan"/>
          <s v="07-Jan"/>
          <s v="08-Jan"/>
          <s v="09-Jan"/>
          <s v="10-Jan"/>
          <s v="11-Jan"/>
          <s v="12-Jan"/>
          <s v="13-Jan"/>
          <s v="14-Jan"/>
          <s v="15-Jan"/>
          <s v="16-Jan"/>
          <s v="17-Jan"/>
          <s v="18-Jan"/>
          <s v="19-Jan"/>
          <s v="20-Jan"/>
          <s v="21-Jan"/>
          <s v="22-Jan"/>
          <s v="23-Jan"/>
          <s v="24-Jan"/>
          <s v="25-Jan"/>
          <s v="26-Jan"/>
          <s v="27-Jan"/>
          <s v="28-Jan"/>
          <s v="29-Jan"/>
          <s v="30-Jan"/>
          <s v="31-Jan"/>
          <s v="01-Feb"/>
          <s v="02-Feb"/>
          <s v="03-Feb"/>
          <s v="04-Feb"/>
          <s v="05-Feb"/>
          <s v="06-Feb"/>
          <s v="07-Feb"/>
          <s v="08-Feb"/>
          <s v="09-Feb"/>
          <s v="10-Feb"/>
          <s v="11-Feb"/>
          <s v="12-Feb"/>
          <s v="13-Feb"/>
          <s v="14-Feb"/>
          <s v="15-Feb"/>
          <s v="16-Feb"/>
          <s v="17-Feb"/>
          <s v="18-Feb"/>
          <s v="19-Feb"/>
          <s v="20-Feb"/>
          <s v="21-Feb"/>
          <s v="22-Feb"/>
          <s v="23-Feb"/>
          <s v="24-Feb"/>
          <s v="25-Feb"/>
          <s v="26-Feb"/>
          <s v="27-Feb"/>
          <s v="28-Feb"/>
          <s v="29-Feb"/>
          <s v="01-Mar"/>
          <s v="02-Mar"/>
          <s v="03-Mar"/>
          <s v="04-Mar"/>
          <s v="05-Mar"/>
          <s v="06-Mar"/>
          <s v="07-Mar"/>
          <s v="08-Mar"/>
          <s v="09-Mar"/>
          <s v="10-Mar"/>
          <s v="11-Mar"/>
          <s v="12-Mar"/>
          <s v="13-Mar"/>
          <s v="14-Mar"/>
          <s v="15-Mar"/>
          <s v="16-Mar"/>
          <s v="17-Mar"/>
          <s v="18-Mar"/>
          <s v="19-Mar"/>
          <s v="20-Mar"/>
          <s v="21-Mar"/>
          <s v="22-Mar"/>
          <s v="23-Mar"/>
          <s v="24-Mar"/>
          <s v="25-Mar"/>
          <s v="26-Mar"/>
          <s v="27-Mar"/>
          <s v="28-Mar"/>
          <s v="29-Mar"/>
          <s v="30-Mar"/>
          <s v="31-Mar"/>
          <s v="01-Apr"/>
          <s v="02-Apr"/>
          <s v="03-Apr"/>
          <s v="04-Apr"/>
          <s v="05-Apr"/>
          <s v="06-Apr"/>
          <s v="07-Apr"/>
          <s v="08-Apr"/>
          <s v="09-Apr"/>
          <s v="10-Apr"/>
          <s v="11-Apr"/>
          <s v="12-Apr"/>
          <s v="13-Apr"/>
          <s v="14-Apr"/>
          <s v="15-Apr"/>
          <s v="16-Apr"/>
          <s v="17-Apr"/>
          <s v="18-Apr"/>
          <s v="19-Apr"/>
          <s v="20-Apr"/>
          <s v="21-Apr"/>
          <s v="22-Apr"/>
          <s v="23-Apr"/>
          <s v="24-Apr"/>
          <s v="25-Apr"/>
          <s v="26-Apr"/>
          <s v="27-Apr"/>
          <s v="28-Apr"/>
          <s v="29-Apr"/>
          <s v="30-Apr"/>
          <s v="01-May"/>
          <s v="02-May"/>
          <s v="03-May"/>
          <s v="04-May"/>
          <s v="05-May"/>
          <s v="06-May"/>
          <s v="07-May"/>
          <s v="08-May"/>
          <s v="09-May"/>
          <s v="10-May"/>
          <s v="11-May"/>
          <s v="12-May"/>
          <s v="13-May"/>
          <s v="14-May"/>
          <s v="15-May"/>
          <s v="16-May"/>
          <s v="17-May"/>
          <s v="18-May"/>
          <s v="19-May"/>
          <s v="20-May"/>
          <s v="21-May"/>
          <s v="22-May"/>
          <s v="23-May"/>
          <s v="24-May"/>
          <s v="25-May"/>
          <s v="26-May"/>
          <s v="27-May"/>
          <s v="28-May"/>
          <s v="29-May"/>
          <s v="30-May"/>
          <s v="31-May"/>
          <s v="01-Jun"/>
          <s v="02-Jun"/>
          <s v="03-Jun"/>
          <s v="04-Jun"/>
          <s v="05-Jun"/>
          <s v="06-Jun"/>
          <s v="07-Jun"/>
          <s v="08-Jun"/>
          <s v="09-Jun"/>
          <s v="10-Jun"/>
          <s v="11-Jun"/>
          <s v="12-Jun"/>
          <s v="13-Jun"/>
          <s v="14-Jun"/>
          <s v="15-Jun"/>
          <s v="16-Jun"/>
          <s v="17-Jun"/>
          <s v="18-Jun"/>
          <s v="19-Jun"/>
          <s v="20-Jun"/>
          <s v="21-Jun"/>
          <s v="22-Jun"/>
          <s v="23-Jun"/>
          <s v="24-Jun"/>
          <s v="25-Jun"/>
          <s v="26-Jun"/>
          <s v="27-Jun"/>
          <s v="28-Jun"/>
          <s v="29-Jun"/>
          <s v="30-Jun"/>
          <s v="01-Jul"/>
          <s v="02-Jul"/>
          <s v="03-Jul"/>
          <s v="04-Jul"/>
          <s v="05-Jul"/>
          <s v="06-Jul"/>
          <s v="07-Jul"/>
          <s v="08-Jul"/>
          <s v="09-Jul"/>
          <s v="10-Jul"/>
          <s v="11-Jul"/>
          <s v="12-Jul"/>
          <s v="13-Jul"/>
          <s v="14-Jul"/>
          <s v="15-Jul"/>
          <s v="16-Jul"/>
          <s v="17-Jul"/>
          <s v="18-Jul"/>
          <s v="19-Jul"/>
          <s v="20-Jul"/>
          <s v="21-Jul"/>
          <s v="22-Jul"/>
          <s v="23-Jul"/>
          <s v="24-Jul"/>
          <s v="25-Jul"/>
          <s v="26-Jul"/>
          <s v="27-Jul"/>
          <s v="28-Jul"/>
          <s v="29-Jul"/>
          <s v="30-Jul"/>
          <s v="31-Jul"/>
          <s v="01-Aug"/>
          <s v="02-Aug"/>
          <s v="03-Aug"/>
          <s v="04-Aug"/>
          <s v="05-Aug"/>
          <s v="06-Aug"/>
          <s v="07-Aug"/>
          <s v="08-Aug"/>
          <s v="09-Aug"/>
          <s v="10-Aug"/>
          <s v="11-Aug"/>
          <s v="12-Aug"/>
          <s v="13-Aug"/>
          <s v="14-Aug"/>
          <s v="15-Aug"/>
          <s v="16-Aug"/>
          <s v="17-Aug"/>
          <s v="18-Aug"/>
          <s v="19-Aug"/>
          <s v="20-Aug"/>
          <s v="21-Aug"/>
          <s v="22-Aug"/>
          <s v="23-Aug"/>
          <s v="24-Aug"/>
          <s v="25-Aug"/>
          <s v="26-Aug"/>
          <s v="27-Aug"/>
          <s v="28-Aug"/>
          <s v="29-Aug"/>
          <s v="30-Aug"/>
          <s v="31-Aug"/>
          <s v="01-Sep"/>
          <s v="02-Sep"/>
          <s v="03-Sep"/>
          <s v="04-Sep"/>
          <s v="05-Sep"/>
          <s v="06-Sep"/>
          <s v="07-Sep"/>
          <s v="08-Sep"/>
          <s v="09-Sep"/>
          <s v="10-Sep"/>
          <s v="11-Sep"/>
          <s v="12-Sep"/>
          <s v="13-Sep"/>
          <s v="14-Sep"/>
          <s v="15-Sep"/>
          <s v="16-Sep"/>
          <s v="17-Sep"/>
          <s v="18-Sep"/>
          <s v="19-Sep"/>
          <s v="20-Sep"/>
          <s v="21-Sep"/>
          <s v="22-Sep"/>
          <s v="23-Sep"/>
          <s v="24-Sep"/>
          <s v="25-Sep"/>
          <s v="26-Sep"/>
          <s v="27-Sep"/>
          <s v="28-Sep"/>
          <s v="29-Sep"/>
          <s v="30-Sep"/>
          <s v="01-Oct"/>
          <s v="02-Oct"/>
          <s v="03-Oct"/>
          <s v="04-Oct"/>
          <s v="05-Oct"/>
          <s v="06-Oct"/>
          <s v="07-Oct"/>
          <s v="08-Oct"/>
          <s v="09-Oct"/>
          <s v="10-Oct"/>
          <s v="11-Oct"/>
          <s v="12-Oct"/>
          <s v="13-Oct"/>
          <s v="14-Oct"/>
          <s v="15-Oct"/>
          <s v="16-Oct"/>
          <s v="17-Oct"/>
          <s v="18-Oct"/>
          <s v="19-Oct"/>
          <s v="20-Oct"/>
          <s v="21-Oct"/>
          <s v="22-Oct"/>
          <s v="23-Oct"/>
          <s v="24-Oct"/>
          <s v="25-Oct"/>
          <s v="26-Oct"/>
          <s v="27-Oct"/>
          <s v="28-Oct"/>
          <s v="29-Oct"/>
          <s v="30-Oct"/>
          <s v="31-Oct"/>
          <s v="01-Nov"/>
          <s v="02-Nov"/>
          <s v="03-Nov"/>
          <s v="04-Nov"/>
          <s v="05-Nov"/>
          <s v="06-Nov"/>
          <s v="07-Nov"/>
          <s v="08-Nov"/>
          <s v="09-Nov"/>
          <s v="10-Nov"/>
          <s v="11-Nov"/>
          <s v="12-Nov"/>
          <s v="13-Nov"/>
          <s v="14-Nov"/>
          <s v="15-Nov"/>
          <s v="16-Nov"/>
          <s v="17-Nov"/>
          <s v="18-Nov"/>
          <s v="19-Nov"/>
          <s v="20-Nov"/>
          <s v="21-Nov"/>
          <s v="22-Nov"/>
          <s v="23-Nov"/>
          <s v="24-Nov"/>
          <s v="25-Nov"/>
          <s v="26-Nov"/>
          <s v="27-Nov"/>
          <s v="28-Nov"/>
          <s v="29-Nov"/>
          <s v="30-Nov"/>
          <s v="01-Dec"/>
          <s v="02-Dec"/>
          <s v="03-Dec"/>
          <s v="04-Dec"/>
          <s v="05-Dec"/>
          <s v="06-Dec"/>
          <s v="07-Dec"/>
          <s v="08-Dec"/>
          <s v="09-Dec"/>
          <s v="10-Dec"/>
          <s v="11-Dec"/>
          <s v="12-Dec"/>
          <s v="13-Dec"/>
          <s v="14-Dec"/>
          <s v="15-Dec"/>
          <s v="16-Dec"/>
          <s v="17-Dec"/>
          <s v="18-Dec"/>
          <s v="19-Dec"/>
          <s v="20-Dec"/>
          <s v="21-Dec"/>
          <s v="22-Dec"/>
          <s v="23-Dec"/>
          <s v="24-Dec"/>
          <s v="25-Dec"/>
          <s v="26-Dec"/>
          <s v="27-Dec"/>
          <s v="28-Dec"/>
          <s v="29-Dec"/>
          <s v="30-Dec"/>
          <s v="31-Dec"/>
          <s v="&gt;09-03-2024"/>
        </groupItems>
      </fieldGroup>
    </cacheField>
    <cacheField name="Total Sales" numFmtId="0">
      <sharedItems containsSemiMixedTypes="0" containsString="0" containsNumber="1" containsInteger="1" minValue="90" maxValue="850"/>
    </cacheField>
    <cacheField name="Months" numFmtId="0" databaseField="0">
      <fieldGroup base="6">
        <rangePr groupBy="months" startDate="2024-01-05T00:00:00" endDate="2024-03-09T00:00:00"/>
        <groupItems count="14">
          <s v="&lt;05-01-2024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09-03-2024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0">
  <r>
    <n v="1001"/>
    <s v="Amit Sharma"/>
    <s v="North"/>
    <x v="0"/>
    <n v="10"/>
    <n v="50"/>
    <x v="0"/>
    <n v="500"/>
  </r>
  <r>
    <n v="1002"/>
    <s v="Neha Verma"/>
    <s v="South"/>
    <x v="1"/>
    <n v="20"/>
    <n v="10"/>
    <x v="1"/>
    <n v="200"/>
  </r>
  <r>
    <n v="1003"/>
    <s v="Rahul Singh"/>
    <s v="East"/>
    <x v="2"/>
    <n v="15"/>
    <n v="25"/>
    <x v="2"/>
    <n v="375"/>
  </r>
  <r>
    <n v="1004"/>
    <s v="Pooja Mehta"/>
    <s v="West"/>
    <x v="0"/>
    <n v="5"/>
    <n v="50"/>
    <x v="3"/>
    <n v="250"/>
  </r>
  <r>
    <n v="1005"/>
    <s v="Ankit Jain"/>
    <s v="North"/>
    <x v="3"/>
    <n v="30"/>
    <n v="5"/>
    <x v="4"/>
    <n v="150"/>
  </r>
  <r>
    <n v="1006"/>
    <s v="Sneha Patel"/>
    <s v="South"/>
    <x v="0"/>
    <n v="12"/>
    <n v="50"/>
    <x v="5"/>
    <n v="600"/>
  </r>
  <r>
    <n v="1007"/>
    <s v="Vikas Gupta"/>
    <s v="East"/>
    <x v="4"/>
    <n v="25"/>
    <n v="8"/>
    <x v="6"/>
    <n v="200"/>
  </r>
  <r>
    <n v="1008"/>
    <s v="Meera Nair"/>
    <s v="West"/>
    <x v="1"/>
    <n v="18"/>
    <n v="10"/>
    <x v="7"/>
    <n v="180"/>
  </r>
  <r>
    <n v="1009"/>
    <s v="Anjali Rao"/>
    <s v="North"/>
    <x v="2"/>
    <n v="22"/>
    <n v="25"/>
    <x v="8"/>
    <n v="550"/>
  </r>
  <r>
    <n v="1010"/>
    <s v="Manoj Das"/>
    <s v="South"/>
    <x v="0"/>
    <n v="8"/>
    <n v="50"/>
    <x v="9"/>
    <n v="400"/>
  </r>
  <r>
    <n v="1011"/>
    <s v="Ritika Sen"/>
    <s v="East"/>
    <x v="3"/>
    <n v="40"/>
    <n v="5"/>
    <x v="10"/>
    <n v="200"/>
  </r>
  <r>
    <n v="1012"/>
    <s v="Karan Malhotra"/>
    <s v="West"/>
    <x v="4"/>
    <n v="35"/>
    <n v="8"/>
    <x v="11"/>
    <n v="280"/>
  </r>
  <r>
    <n v="1013"/>
    <s v="Aryan Joshi"/>
    <s v="North"/>
    <x v="0"/>
    <n v="14"/>
    <n v="50"/>
    <x v="12"/>
    <n v="700"/>
  </r>
  <r>
    <n v="1014"/>
    <s v="Divya Kapoor"/>
    <s v="South"/>
    <x v="1"/>
    <n v="28"/>
    <n v="10"/>
    <x v="13"/>
    <n v="280"/>
  </r>
  <r>
    <n v="1015"/>
    <s v="Sahil Arora"/>
    <s v="East"/>
    <x v="2"/>
    <n v="12"/>
    <n v="25"/>
    <x v="14"/>
    <n v="300"/>
  </r>
  <r>
    <n v="1016"/>
    <s v="Muskan Jain"/>
    <s v="West"/>
    <x v="3"/>
    <n v="25"/>
    <n v="5"/>
    <x v="15"/>
    <n v="125"/>
  </r>
  <r>
    <n v="1017"/>
    <s v="Rohan Gupta"/>
    <s v="North"/>
    <x v="4"/>
    <n v="20"/>
    <n v="8"/>
    <x v="16"/>
    <n v="160"/>
  </r>
  <r>
    <n v="1018"/>
    <s v="Nidhi Sharma"/>
    <s v="South"/>
    <x v="0"/>
    <n v="10"/>
    <n v="50"/>
    <x v="17"/>
    <n v="500"/>
  </r>
  <r>
    <n v="1019"/>
    <s v="Tarun Verma"/>
    <s v="East"/>
    <x v="1"/>
    <n v="15"/>
    <n v="10"/>
    <x v="18"/>
    <n v="150"/>
  </r>
  <r>
    <n v="1020"/>
    <s v="Simran Kaur"/>
    <s v="West"/>
    <x v="2"/>
    <n v="18"/>
    <n v="25"/>
    <x v="19"/>
    <n v="450"/>
  </r>
  <r>
    <n v="1021"/>
    <s v="Deepak Rao"/>
    <s v="North"/>
    <x v="0"/>
    <n v="9"/>
    <n v="50"/>
    <x v="20"/>
    <n v="450"/>
  </r>
  <r>
    <n v="1022"/>
    <s v="Payal Mehta"/>
    <s v="South"/>
    <x v="3"/>
    <n v="35"/>
    <n v="5"/>
    <x v="21"/>
    <n v="175"/>
  </r>
  <r>
    <n v="1023"/>
    <s v="Aditya Singh"/>
    <s v="East"/>
    <x v="4"/>
    <n v="30"/>
    <n v="8"/>
    <x v="22"/>
    <n v="240"/>
  </r>
  <r>
    <n v="1024"/>
    <s v="Shreya Nair"/>
    <s v="West"/>
    <x v="0"/>
    <n v="11"/>
    <n v="50"/>
    <x v="23"/>
    <n v="550"/>
  </r>
  <r>
    <n v="1025"/>
    <s v="Sanjay Kumar"/>
    <s v="North"/>
    <x v="1"/>
    <n v="14"/>
    <n v="10"/>
    <x v="24"/>
    <n v="140"/>
  </r>
  <r>
    <n v="1026"/>
    <s v="Aarti Sharma"/>
    <s v="South"/>
    <x v="2"/>
    <n v="16"/>
    <n v="25"/>
    <x v="25"/>
    <n v="400"/>
  </r>
  <r>
    <n v="1027"/>
    <s v="Rajesh Patel"/>
    <s v="East"/>
    <x v="3"/>
    <n v="22"/>
    <n v="5"/>
    <x v="26"/>
    <n v="110"/>
  </r>
  <r>
    <n v="1028"/>
    <s v="Preeti Joshi"/>
    <s v="West"/>
    <x v="4"/>
    <n v="27"/>
    <n v="8"/>
    <x v="27"/>
    <n v="216"/>
  </r>
  <r>
    <n v="1029"/>
    <s v="Anurag Mishra"/>
    <s v="North"/>
    <x v="0"/>
    <n v="13"/>
    <n v="50"/>
    <x v="28"/>
    <n v="650"/>
  </r>
  <r>
    <n v="1030"/>
    <s v="Sanya Kapoor"/>
    <s v="South"/>
    <x v="1"/>
    <n v="32"/>
    <n v="10"/>
    <x v="29"/>
    <n v="320"/>
  </r>
  <r>
    <n v="1031"/>
    <s v="Harsh Yadav"/>
    <s v="East"/>
    <x v="2"/>
    <n v="10"/>
    <n v="25"/>
    <x v="30"/>
    <n v="250"/>
  </r>
  <r>
    <n v="1032"/>
    <s v="Kajal Rani"/>
    <s v="West"/>
    <x v="3"/>
    <n v="18"/>
    <n v="5"/>
    <x v="31"/>
    <n v="90"/>
  </r>
  <r>
    <n v="1033"/>
    <s v="Varun Sharma"/>
    <s v="North"/>
    <x v="4"/>
    <n v="22"/>
    <n v="8"/>
    <x v="32"/>
    <n v="176"/>
  </r>
  <r>
    <n v="1034"/>
    <s v="Swati Arora"/>
    <s v="South"/>
    <x v="0"/>
    <n v="17"/>
    <n v="50"/>
    <x v="33"/>
    <n v="850"/>
  </r>
  <r>
    <n v="1035"/>
    <s v="Akhil Jain"/>
    <s v="East"/>
    <x v="1"/>
    <n v="19"/>
    <n v="10"/>
    <x v="34"/>
    <n v="190"/>
  </r>
  <r>
    <n v="1036"/>
    <s v="Priyanka Das"/>
    <s v="West"/>
    <x v="2"/>
    <n v="15"/>
    <n v="25"/>
    <x v="35"/>
    <n v="375"/>
  </r>
  <r>
    <n v="1037"/>
    <s v="Ravi Nair"/>
    <s v="North"/>
    <x v="3"/>
    <n v="28"/>
    <n v="5"/>
    <x v="36"/>
    <n v="140"/>
  </r>
  <r>
    <n v="1038"/>
    <s v="Komal Singh"/>
    <s v="South"/>
    <x v="4"/>
    <n v="24"/>
    <n v="8"/>
    <x v="37"/>
    <n v="192"/>
  </r>
  <r>
    <n v="1039"/>
    <s v="Ayesha Khan"/>
    <s v="East"/>
    <x v="0"/>
    <n v="16"/>
    <n v="50"/>
    <x v="38"/>
    <n v="800"/>
  </r>
  <r>
    <n v="1040"/>
    <s v="Arjun Mehta"/>
    <s v="West"/>
    <x v="1"/>
    <n v="27"/>
    <n v="10"/>
    <x v="39"/>
    <n v="270"/>
  </r>
  <r>
    <n v="1041"/>
    <s v="Sonali Gupta"/>
    <s v="North"/>
    <x v="2"/>
    <n v="21"/>
    <n v="25"/>
    <x v="40"/>
    <n v="525"/>
  </r>
  <r>
    <n v="1042"/>
    <s v="Neeraj Kapoor"/>
    <s v="South"/>
    <x v="3"/>
    <n v="30"/>
    <n v="5"/>
    <x v="41"/>
    <n v="150"/>
  </r>
  <r>
    <n v="1043"/>
    <s v="Shruti Sharma"/>
    <s v="East"/>
    <x v="4"/>
    <n v="26"/>
    <n v="8"/>
    <x v="42"/>
    <n v="208"/>
  </r>
  <r>
    <n v="1044"/>
    <s v="Yash Arora"/>
    <s v="West"/>
    <x v="0"/>
    <n v="14"/>
    <n v="50"/>
    <x v="43"/>
    <n v="700"/>
  </r>
  <r>
    <n v="1045"/>
    <s v="Manish Das"/>
    <s v="North"/>
    <x v="1"/>
    <n v="20"/>
    <n v="10"/>
    <x v="44"/>
    <n v="200"/>
  </r>
  <r>
    <n v="1046"/>
    <s v="Rupal Nair"/>
    <s v="South"/>
    <x v="2"/>
    <n v="17"/>
    <n v="25"/>
    <x v="45"/>
    <n v="425"/>
  </r>
  <r>
    <n v="1047"/>
    <s v="Sonia Verma"/>
    <s v="East"/>
    <x v="3"/>
    <n v="19"/>
    <n v="5"/>
    <x v="46"/>
    <n v="95"/>
  </r>
  <r>
    <n v="1048"/>
    <s v="Kunal Singh"/>
    <s v="West"/>
    <x v="4"/>
    <n v="32"/>
    <n v="8"/>
    <x v="47"/>
    <n v="256"/>
  </r>
  <r>
    <n v="1049"/>
    <s v="Ritika Jain"/>
    <s v="North"/>
    <x v="0"/>
    <n v="12"/>
    <n v="50"/>
    <x v="48"/>
    <n v="600"/>
  </r>
  <r>
    <n v="1050"/>
    <s v="Vivek Malhotra"/>
    <s v="South"/>
    <x v="1"/>
    <n v="25"/>
    <n v="10"/>
    <x v="49"/>
    <n v="25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E89AFCA-3988-4065-BA82-46298411CE18}" name="PivotTable3" cacheId="7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 chartFormat="15">
  <location ref="Q30:R81" firstHeaderRow="1" firstDataRow="1" firstDataCol="1"/>
  <pivotFields count="9">
    <pivotField showAll="0"/>
    <pivotField showAll="0"/>
    <pivotField showAll="0"/>
    <pivotField showAll="0"/>
    <pivotField showAll="0"/>
    <pivotField showAll="0"/>
    <pivotField axis="axisRow" numFmtId="14"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dataField="1" showAll="0"/>
    <pivotField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</pivotFields>
  <rowFields count="1">
    <field x="6"/>
  </rowFields>
  <rowItems count="51">
    <i>
      <x v="5"/>
    </i>
    <i>
      <x v="6"/>
    </i>
    <i>
      <x v="7"/>
    </i>
    <i>
      <x v="8"/>
    </i>
    <i>
      <x v="10"/>
    </i>
    <i>
      <x v="11"/>
    </i>
    <i>
      <x v="13"/>
    </i>
    <i>
      <x v="15"/>
    </i>
    <i>
      <x v="17"/>
    </i>
    <i>
      <x v="18"/>
    </i>
    <i>
      <x v="19"/>
    </i>
    <i>
      <x v="20"/>
    </i>
    <i>
      <x v="22"/>
    </i>
    <i>
      <x v="23"/>
    </i>
    <i>
      <x v="24"/>
    </i>
    <i>
      <x v="26"/>
    </i>
    <i>
      <x v="28"/>
    </i>
    <i>
      <x v="29"/>
    </i>
    <i>
      <x v="30"/>
    </i>
    <i>
      <x v="32"/>
    </i>
    <i>
      <x v="33"/>
    </i>
    <i>
      <x v="34"/>
    </i>
    <i>
      <x v="35"/>
    </i>
    <i>
      <x v="37"/>
    </i>
    <i>
      <x v="38"/>
    </i>
    <i>
      <x v="39"/>
    </i>
    <i>
      <x v="40"/>
    </i>
    <i>
      <x v="41"/>
    </i>
    <i>
      <x v="43"/>
    </i>
    <i>
      <x v="44"/>
    </i>
    <i>
      <x v="45"/>
    </i>
    <i>
      <x v="47"/>
    </i>
    <i>
      <x v="48"/>
    </i>
    <i>
      <x v="49"/>
    </i>
    <i>
      <x v="50"/>
    </i>
    <i>
      <x v="52"/>
    </i>
    <i>
      <x v="53"/>
    </i>
    <i>
      <x v="54"/>
    </i>
    <i>
      <x v="56"/>
    </i>
    <i>
      <x v="57"/>
    </i>
    <i>
      <x v="58"/>
    </i>
    <i>
      <x v="59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 t="grand">
      <x/>
    </i>
  </rowItems>
  <colItems count="1">
    <i/>
  </colItems>
  <dataFields count="1">
    <dataField name="Sum of Total Sales" fld="7" baseField="0" baseItem="0"/>
  </dataFields>
  <chartFormats count="1">
    <chartFormat chart="14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A5D3B5D-B422-473E-82ED-8C5C11022FD6}" name="PivotTable2" cacheId="7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 chartFormat="2">
  <location ref="Q13:R19" firstHeaderRow="1" firstDataRow="1" firstDataCol="1"/>
  <pivotFields count="9">
    <pivotField showAll="0"/>
    <pivotField showAll="0"/>
    <pivotField showAll="0"/>
    <pivotField axis="axisRow" showAll="0">
      <items count="6">
        <item x="4"/>
        <item x="2"/>
        <item x="0"/>
        <item x="1"/>
        <item x="3"/>
        <item t="default"/>
      </items>
    </pivotField>
    <pivotField showAll="0"/>
    <pivotField showAll="0"/>
    <pivotField numFmtId="14"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dataField="1"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3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um of Total Sales" fld="7" baseField="0" baseItem="0"/>
  </dataFields>
  <chartFormats count="1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F476992-2BF1-4537-BE5E-04E98CDC7B9C}" name="Table1" displayName="Table1" ref="A1:H51" totalsRowShown="0">
  <autoFilter ref="A1:H51" xr:uid="{EF476992-2BF1-4537-BE5E-04E98CDC7B9C}"/>
  <tableColumns count="8">
    <tableColumn id="1" xr3:uid="{908EC4EA-A9F6-4E0D-8BEB-8AA7A537E25E}" name="OrderID"/>
    <tableColumn id="2" xr3:uid="{3880CCFE-BC6C-41E1-91DE-64304FC51B33}" name="CustomerName"/>
    <tableColumn id="3" xr3:uid="{2C8FC1EA-AFD2-4A06-862A-3580875CB4F0}" name="Region"/>
    <tableColumn id="4" xr3:uid="{06DDA6CA-D17D-4425-AFC2-DDED7B53FAFE}" name="Product"/>
    <tableColumn id="5" xr3:uid="{45DF794C-478E-442F-99C0-CE79788120EE}" name="Quantity"/>
    <tableColumn id="6" xr3:uid="{AAFA9F62-63B9-48A9-A4B9-00F015CB41B4}" name="UnitPrice"/>
    <tableColumn id="7" xr3:uid="{AB17B89D-8A6B-4225-AFC7-6693AB9347C3}" name="OrderDate" dataDxfId="1"/>
    <tableColumn id="8" xr3:uid="{81ED6851-7772-4ED3-92BC-C096071F54A3}" name="Total Sales" dataDxfId="0">
      <calculatedColumnFormula>Table1[[#This Row],[Quantity]]*Table1[[#This Row],[UnitPrice]]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4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91C149-6E3D-4E8F-A1BD-58B2B7539D00}">
  <dimension ref="A1:R81"/>
  <sheetViews>
    <sheetView tabSelected="1" workbookViewId="0">
      <selection activeCell="Q34" sqref="Q34:R34"/>
    </sheetView>
  </sheetViews>
  <sheetFormatPr defaultRowHeight="14.4" x14ac:dyDescent="0.3"/>
  <cols>
    <col min="1" max="1" width="9.44140625" customWidth="1"/>
    <col min="2" max="2" width="18.88671875" customWidth="1"/>
    <col min="4" max="4" width="9.5546875" customWidth="1"/>
    <col min="5" max="5" width="10.21875" customWidth="1"/>
    <col min="6" max="6" width="10.5546875" customWidth="1"/>
    <col min="7" max="7" width="17" customWidth="1"/>
    <col min="8" max="8" width="12.109375" customWidth="1"/>
    <col min="17" max="17" width="12.5546875" bestFit="1" customWidth="1"/>
    <col min="18" max="18" width="16.44140625" bestFit="1" customWidth="1"/>
  </cols>
  <sheetData>
    <row r="1" spans="1:1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66</v>
      </c>
    </row>
    <row r="2" spans="1:18" x14ac:dyDescent="0.3">
      <c r="A2">
        <v>1001</v>
      </c>
      <c r="B2" t="s">
        <v>7</v>
      </c>
      <c r="C2" t="s">
        <v>8</v>
      </c>
      <c r="D2" t="s">
        <v>9</v>
      </c>
      <c r="E2">
        <v>10</v>
      </c>
      <c r="F2">
        <v>50</v>
      </c>
      <c r="G2" s="1">
        <v>45296</v>
      </c>
      <c r="H2">
        <f>Table1[[#This Row],[Quantity]]*Table1[[#This Row],[UnitPrice]]</f>
        <v>500</v>
      </c>
    </row>
    <row r="3" spans="1:18" ht="15.6" x14ac:dyDescent="0.3">
      <c r="A3">
        <v>1002</v>
      </c>
      <c r="B3" t="s">
        <v>10</v>
      </c>
      <c r="C3" t="s">
        <v>11</v>
      </c>
      <c r="D3" t="s">
        <v>12</v>
      </c>
      <c r="E3">
        <v>20</v>
      </c>
      <c r="F3">
        <v>10</v>
      </c>
      <c r="G3" s="1">
        <v>45297</v>
      </c>
      <c r="H3">
        <f>Table1[[#This Row],[Quantity]]*Table1[[#This Row],[UnitPrice]]</f>
        <v>200</v>
      </c>
      <c r="J3" s="2" t="s">
        <v>67</v>
      </c>
    </row>
    <row r="4" spans="1:18" ht="15.6" x14ac:dyDescent="0.3">
      <c r="A4">
        <v>1003</v>
      </c>
      <c r="B4" t="s">
        <v>13</v>
      </c>
      <c r="C4" t="s">
        <v>14</v>
      </c>
      <c r="D4" t="s">
        <v>15</v>
      </c>
      <c r="E4">
        <v>15</v>
      </c>
      <c r="F4">
        <v>25</v>
      </c>
      <c r="G4" s="1">
        <v>45298</v>
      </c>
      <c r="H4">
        <f>Table1[[#This Row],[Quantity]]*Table1[[#This Row],[UnitPrice]]</f>
        <v>375</v>
      </c>
      <c r="J4" t="s">
        <v>68</v>
      </c>
      <c r="K4" s="3">
        <f>COUNTA(Table1[CustomerName])</f>
        <v>50</v>
      </c>
    </row>
    <row r="5" spans="1:18" x14ac:dyDescent="0.3">
      <c r="A5">
        <v>1004</v>
      </c>
      <c r="B5" t="s">
        <v>16</v>
      </c>
      <c r="C5" t="s">
        <v>17</v>
      </c>
      <c r="D5" t="s">
        <v>9</v>
      </c>
      <c r="E5">
        <v>5</v>
      </c>
      <c r="F5">
        <v>50</v>
      </c>
      <c r="G5" s="1">
        <v>45299</v>
      </c>
      <c r="H5">
        <f>Table1[[#This Row],[Quantity]]*Table1[[#This Row],[UnitPrice]]</f>
        <v>250</v>
      </c>
    </row>
    <row r="6" spans="1:18" ht="15.6" x14ac:dyDescent="0.3">
      <c r="A6">
        <v>1005</v>
      </c>
      <c r="B6" t="s">
        <v>18</v>
      </c>
      <c r="C6" t="s">
        <v>8</v>
      </c>
      <c r="D6" t="s">
        <v>19</v>
      </c>
      <c r="E6">
        <v>30</v>
      </c>
      <c r="F6">
        <v>5</v>
      </c>
      <c r="G6" s="1">
        <v>45301</v>
      </c>
      <c r="H6">
        <f>Table1[[#This Row],[Quantity]]*Table1[[#This Row],[UnitPrice]]</f>
        <v>150</v>
      </c>
      <c r="J6" s="2" t="s">
        <v>69</v>
      </c>
    </row>
    <row r="7" spans="1:18" ht="15.6" x14ac:dyDescent="0.3">
      <c r="A7">
        <v>1006</v>
      </c>
      <c r="B7" t="s">
        <v>20</v>
      </c>
      <c r="C7" t="s">
        <v>11</v>
      </c>
      <c r="D7" t="s">
        <v>9</v>
      </c>
      <c r="E7">
        <v>12</v>
      </c>
      <c r="F7">
        <v>50</v>
      </c>
      <c r="G7" s="1">
        <v>45302</v>
      </c>
      <c r="H7">
        <f>Table1[[#This Row],[Quantity]]*Table1[[#This Row],[UnitPrice]]</f>
        <v>600</v>
      </c>
      <c r="J7" t="s">
        <v>70</v>
      </c>
      <c r="K7" s="3" t="s">
        <v>71</v>
      </c>
    </row>
    <row r="8" spans="1:18" x14ac:dyDescent="0.3">
      <c r="A8">
        <v>1007</v>
      </c>
      <c r="B8" t="s">
        <v>21</v>
      </c>
      <c r="C8" t="s">
        <v>14</v>
      </c>
      <c r="D8" t="s">
        <v>22</v>
      </c>
      <c r="E8">
        <v>25</v>
      </c>
      <c r="F8">
        <v>8</v>
      </c>
      <c r="G8" s="1">
        <v>45304</v>
      </c>
      <c r="H8">
        <f>Table1[[#This Row],[Quantity]]*Table1[[#This Row],[UnitPrice]]</f>
        <v>200</v>
      </c>
    </row>
    <row r="9" spans="1:18" ht="15.6" x14ac:dyDescent="0.3">
      <c r="A9">
        <v>1008</v>
      </c>
      <c r="B9" t="s">
        <v>23</v>
      </c>
      <c r="C9" t="s">
        <v>17</v>
      </c>
      <c r="D9" t="s">
        <v>12</v>
      </c>
      <c r="E9">
        <v>18</v>
      </c>
      <c r="F9">
        <v>10</v>
      </c>
      <c r="G9" s="1">
        <v>45306</v>
      </c>
      <c r="H9">
        <f>Table1[[#This Row],[Quantity]]*Table1[[#This Row],[UnitPrice]]</f>
        <v>180</v>
      </c>
      <c r="J9" s="2" t="s">
        <v>72</v>
      </c>
    </row>
    <row r="10" spans="1:18" ht="15.6" x14ac:dyDescent="0.3">
      <c r="A10">
        <v>1009</v>
      </c>
      <c r="B10" t="s">
        <v>24</v>
      </c>
      <c r="C10" t="s">
        <v>8</v>
      </c>
      <c r="D10" t="s">
        <v>15</v>
      </c>
      <c r="E10">
        <v>22</v>
      </c>
      <c r="F10">
        <v>25</v>
      </c>
      <c r="G10" s="1">
        <v>45308</v>
      </c>
      <c r="H10">
        <f>Table1[[#This Row],[Quantity]]*Table1[[#This Row],[UnitPrice]]</f>
        <v>550</v>
      </c>
      <c r="J10" t="s">
        <v>68</v>
      </c>
      <c r="K10" s="3" cm="1">
        <f t="array" ref="K10">SUMPRODUCT((C2:C51="North")*(D2:D51="Notebook")*(E2:E51)*(F2:F51))</f>
        <v>2900</v>
      </c>
    </row>
    <row r="11" spans="1:18" x14ac:dyDescent="0.3">
      <c r="A11">
        <v>1010</v>
      </c>
      <c r="B11" t="s">
        <v>25</v>
      </c>
      <c r="C11" t="s">
        <v>11</v>
      </c>
      <c r="D11" t="s">
        <v>9</v>
      </c>
      <c r="E11">
        <v>8</v>
      </c>
      <c r="F11">
        <v>50</v>
      </c>
      <c r="G11" s="1">
        <v>45309</v>
      </c>
      <c r="H11">
        <f>Table1[[#This Row],[Quantity]]*Table1[[#This Row],[UnitPrice]]</f>
        <v>400</v>
      </c>
    </row>
    <row r="12" spans="1:18" ht="15.6" x14ac:dyDescent="0.3">
      <c r="A12">
        <v>1011</v>
      </c>
      <c r="B12" t="s">
        <v>26</v>
      </c>
      <c r="C12" t="s">
        <v>14</v>
      </c>
      <c r="D12" t="s">
        <v>19</v>
      </c>
      <c r="E12">
        <v>40</v>
      </c>
      <c r="F12">
        <v>5</v>
      </c>
      <c r="G12" s="1">
        <v>45310</v>
      </c>
      <c r="H12">
        <f>Table1[[#This Row],[Quantity]]*Table1[[#This Row],[UnitPrice]]</f>
        <v>200</v>
      </c>
      <c r="J12" s="2" t="s">
        <v>73</v>
      </c>
    </row>
    <row r="13" spans="1:18" x14ac:dyDescent="0.3">
      <c r="A13">
        <v>1012</v>
      </c>
      <c r="B13" t="s">
        <v>27</v>
      </c>
      <c r="C13" t="s">
        <v>17</v>
      </c>
      <c r="D13" t="s">
        <v>22</v>
      </c>
      <c r="E13">
        <v>35</v>
      </c>
      <c r="F13">
        <v>8</v>
      </c>
      <c r="G13" s="1">
        <v>45311</v>
      </c>
      <c r="H13">
        <f>Table1[[#This Row],[Quantity]]*Table1[[#This Row],[UnitPrice]]</f>
        <v>280</v>
      </c>
      <c r="J13" t="s">
        <v>70</v>
      </c>
      <c r="Q13" s="4" t="s">
        <v>74</v>
      </c>
      <c r="R13" t="s">
        <v>76</v>
      </c>
    </row>
    <row r="14" spans="1:18" x14ac:dyDescent="0.3">
      <c r="A14">
        <v>1013</v>
      </c>
      <c r="B14" t="s">
        <v>28</v>
      </c>
      <c r="C14" t="s">
        <v>8</v>
      </c>
      <c r="D14" t="s">
        <v>9</v>
      </c>
      <c r="E14">
        <v>14</v>
      </c>
      <c r="F14">
        <v>50</v>
      </c>
      <c r="G14" s="1">
        <v>45313</v>
      </c>
      <c r="H14">
        <f>Table1[[#This Row],[Quantity]]*Table1[[#This Row],[UnitPrice]]</f>
        <v>700</v>
      </c>
      <c r="Q14" s="5" t="s">
        <v>22</v>
      </c>
      <c r="R14" s="6">
        <v>1928</v>
      </c>
    </row>
    <row r="15" spans="1:18" x14ac:dyDescent="0.3">
      <c r="A15">
        <v>1014</v>
      </c>
      <c r="B15" t="s">
        <v>29</v>
      </c>
      <c r="C15" t="s">
        <v>11</v>
      </c>
      <c r="D15" t="s">
        <v>12</v>
      </c>
      <c r="E15">
        <v>28</v>
      </c>
      <c r="F15">
        <v>10</v>
      </c>
      <c r="G15" s="1">
        <v>45314</v>
      </c>
      <c r="H15">
        <f>Table1[[#This Row],[Quantity]]*Table1[[#This Row],[UnitPrice]]</f>
        <v>280</v>
      </c>
      <c r="Q15" s="5" t="s">
        <v>15</v>
      </c>
      <c r="R15" s="6">
        <v>3650</v>
      </c>
    </row>
    <row r="16" spans="1:18" x14ac:dyDescent="0.3">
      <c r="A16">
        <v>1015</v>
      </c>
      <c r="B16" t="s">
        <v>30</v>
      </c>
      <c r="C16" t="s">
        <v>14</v>
      </c>
      <c r="D16" t="s">
        <v>15</v>
      </c>
      <c r="E16">
        <v>12</v>
      </c>
      <c r="F16">
        <v>25</v>
      </c>
      <c r="G16" s="1">
        <v>45315</v>
      </c>
      <c r="H16">
        <f>Table1[[#This Row],[Quantity]]*Table1[[#This Row],[UnitPrice]]</f>
        <v>300</v>
      </c>
      <c r="Q16" s="5" t="s">
        <v>9</v>
      </c>
      <c r="R16" s="6">
        <v>7550</v>
      </c>
    </row>
    <row r="17" spans="1:18" x14ac:dyDescent="0.3">
      <c r="A17">
        <v>1016</v>
      </c>
      <c r="B17" t="s">
        <v>31</v>
      </c>
      <c r="C17" t="s">
        <v>17</v>
      </c>
      <c r="D17" t="s">
        <v>19</v>
      </c>
      <c r="E17">
        <v>25</v>
      </c>
      <c r="F17">
        <v>5</v>
      </c>
      <c r="G17" s="1">
        <v>45317</v>
      </c>
      <c r="H17">
        <f>Table1[[#This Row],[Quantity]]*Table1[[#This Row],[UnitPrice]]</f>
        <v>125</v>
      </c>
      <c r="Q17" s="5" t="s">
        <v>12</v>
      </c>
      <c r="R17" s="6">
        <v>2180</v>
      </c>
    </row>
    <row r="18" spans="1:18" x14ac:dyDescent="0.3">
      <c r="A18">
        <v>1017</v>
      </c>
      <c r="B18" t="s">
        <v>32</v>
      </c>
      <c r="C18" t="s">
        <v>8</v>
      </c>
      <c r="D18" t="s">
        <v>22</v>
      </c>
      <c r="E18">
        <v>20</v>
      </c>
      <c r="F18">
        <v>8</v>
      </c>
      <c r="G18" s="1">
        <v>45319</v>
      </c>
      <c r="H18">
        <f>Table1[[#This Row],[Quantity]]*Table1[[#This Row],[UnitPrice]]</f>
        <v>160</v>
      </c>
      <c r="Q18" s="5" t="s">
        <v>19</v>
      </c>
      <c r="R18" s="6">
        <v>1235</v>
      </c>
    </row>
    <row r="19" spans="1:18" x14ac:dyDescent="0.3">
      <c r="A19">
        <v>1018</v>
      </c>
      <c r="B19" t="s">
        <v>33</v>
      </c>
      <c r="C19" t="s">
        <v>11</v>
      </c>
      <c r="D19" t="s">
        <v>9</v>
      </c>
      <c r="E19">
        <v>10</v>
      </c>
      <c r="F19">
        <v>50</v>
      </c>
      <c r="G19" s="1">
        <v>45320</v>
      </c>
      <c r="H19">
        <f>Table1[[#This Row],[Quantity]]*Table1[[#This Row],[UnitPrice]]</f>
        <v>500</v>
      </c>
      <c r="Q19" s="5" t="s">
        <v>75</v>
      </c>
      <c r="R19" s="6">
        <v>16543</v>
      </c>
    </row>
    <row r="20" spans="1:18" x14ac:dyDescent="0.3">
      <c r="A20">
        <v>1019</v>
      </c>
      <c r="B20" t="s">
        <v>34</v>
      </c>
      <c r="C20" t="s">
        <v>14</v>
      </c>
      <c r="D20" t="s">
        <v>12</v>
      </c>
      <c r="E20">
        <v>15</v>
      </c>
      <c r="F20">
        <v>10</v>
      </c>
      <c r="G20" s="1">
        <v>45321</v>
      </c>
      <c r="H20">
        <f>Table1[[#This Row],[Quantity]]*Table1[[#This Row],[UnitPrice]]</f>
        <v>150</v>
      </c>
    </row>
    <row r="21" spans="1:18" x14ac:dyDescent="0.3">
      <c r="A21">
        <v>1020</v>
      </c>
      <c r="B21" t="s">
        <v>35</v>
      </c>
      <c r="C21" t="s">
        <v>17</v>
      </c>
      <c r="D21" t="s">
        <v>15</v>
      </c>
      <c r="E21">
        <v>18</v>
      </c>
      <c r="F21">
        <v>25</v>
      </c>
      <c r="G21" s="1">
        <v>45323</v>
      </c>
      <c r="H21">
        <f>Table1[[#This Row],[Quantity]]*Table1[[#This Row],[UnitPrice]]</f>
        <v>450</v>
      </c>
    </row>
    <row r="22" spans="1:18" x14ac:dyDescent="0.3">
      <c r="A22">
        <v>1021</v>
      </c>
      <c r="B22" t="s">
        <v>36</v>
      </c>
      <c r="C22" t="s">
        <v>8</v>
      </c>
      <c r="D22" t="s">
        <v>9</v>
      </c>
      <c r="E22">
        <v>9</v>
      </c>
      <c r="F22">
        <v>50</v>
      </c>
      <c r="G22" s="1">
        <v>45324</v>
      </c>
      <c r="H22">
        <f>Table1[[#This Row],[Quantity]]*Table1[[#This Row],[UnitPrice]]</f>
        <v>450</v>
      </c>
    </row>
    <row r="23" spans="1:18" x14ac:dyDescent="0.3">
      <c r="A23">
        <v>1022</v>
      </c>
      <c r="B23" t="s">
        <v>37</v>
      </c>
      <c r="C23" t="s">
        <v>11</v>
      </c>
      <c r="D23" t="s">
        <v>19</v>
      </c>
      <c r="E23">
        <v>35</v>
      </c>
      <c r="F23">
        <v>5</v>
      </c>
      <c r="G23" s="1">
        <v>45325</v>
      </c>
      <c r="H23">
        <f>Table1[[#This Row],[Quantity]]*Table1[[#This Row],[UnitPrice]]</f>
        <v>175</v>
      </c>
    </row>
    <row r="24" spans="1:18" x14ac:dyDescent="0.3">
      <c r="A24">
        <v>1023</v>
      </c>
      <c r="B24" t="s">
        <v>38</v>
      </c>
      <c r="C24" t="s">
        <v>14</v>
      </c>
      <c r="D24" t="s">
        <v>22</v>
      </c>
      <c r="E24">
        <v>30</v>
      </c>
      <c r="F24">
        <v>8</v>
      </c>
      <c r="G24" s="1">
        <v>45326</v>
      </c>
      <c r="H24">
        <f>Table1[[#This Row],[Quantity]]*Table1[[#This Row],[UnitPrice]]</f>
        <v>240</v>
      </c>
    </row>
    <row r="25" spans="1:18" x14ac:dyDescent="0.3">
      <c r="A25">
        <v>1024</v>
      </c>
      <c r="B25" t="s">
        <v>39</v>
      </c>
      <c r="C25" t="s">
        <v>17</v>
      </c>
      <c r="D25" t="s">
        <v>9</v>
      </c>
      <c r="E25">
        <v>11</v>
      </c>
      <c r="F25">
        <v>50</v>
      </c>
      <c r="G25" s="1">
        <v>45328</v>
      </c>
      <c r="H25">
        <f>Table1[[#This Row],[Quantity]]*Table1[[#This Row],[UnitPrice]]</f>
        <v>550</v>
      </c>
    </row>
    <row r="26" spans="1:18" x14ac:dyDescent="0.3">
      <c r="A26">
        <v>1025</v>
      </c>
      <c r="B26" t="s">
        <v>40</v>
      </c>
      <c r="C26" t="s">
        <v>8</v>
      </c>
      <c r="D26" t="s">
        <v>12</v>
      </c>
      <c r="E26">
        <v>14</v>
      </c>
      <c r="F26">
        <v>10</v>
      </c>
      <c r="G26" s="1">
        <v>45329</v>
      </c>
      <c r="H26">
        <f>Table1[[#This Row],[Quantity]]*Table1[[#This Row],[UnitPrice]]</f>
        <v>140</v>
      </c>
    </row>
    <row r="27" spans="1:18" x14ac:dyDescent="0.3">
      <c r="A27">
        <v>1026</v>
      </c>
      <c r="B27" t="s">
        <v>41</v>
      </c>
      <c r="C27" t="s">
        <v>11</v>
      </c>
      <c r="D27" t="s">
        <v>15</v>
      </c>
      <c r="E27">
        <v>16</v>
      </c>
      <c r="F27">
        <v>25</v>
      </c>
      <c r="G27" s="1">
        <v>45330</v>
      </c>
      <c r="H27">
        <f>Table1[[#This Row],[Quantity]]*Table1[[#This Row],[UnitPrice]]</f>
        <v>400</v>
      </c>
    </row>
    <row r="28" spans="1:18" x14ac:dyDescent="0.3">
      <c r="A28">
        <v>1027</v>
      </c>
      <c r="B28" t="s">
        <v>42</v>
      </c>
      <c r="C28" t="s">
        <v>14</v>
      </c>
      <c r="D28" t="s">
        <v>19</v>
      </c>
      <c r="E28">
        <v>22</v>
      </c>
      <c r="F28">
        <v>5</v>
      </c>
      <c r="G28" s="1">
        <v>45331</v>
      </c>
      <c r="H28">
        <f>Table1[[#This Row],[Quantity]]*Table1[[#This Row],[UnitPrice]]</f>
        <v>110</v>
      </c>
    </row>
    <row r="29" spans="1:18" x14ac:dyDescent="0.3">
      <c r="A29">
        <v>1028</v>
      </c>
      <c r="B29" t="s">
        <v>43</v>
      </c>
      <c r="C29" t="s">
        <v>17</v>
      </c>
      <c r="D29" t="s">
        <v>22</v>
      </c>
      <c r="E29">
        <v>27</v>
      </c>
      <c r="F29">
        <v>8</v>
      </c>
      <c r="G29" s="1">
        <v>45332</v>
      </c>
      <c r="H29">
        <f>Table1[[#This Row],[Quantity]]*Table1[[#This Row],[UnitPrice]]</f>
        <v>216</v>
      </c>
      <c r="J29" t="s">
        <v>77</v>
      </c>
    </row>
    <row r="30" spans="1:18" x14ac:dyDescent="0.3">
      <c r="A30">
        <v>1029</v>
      </c>
      <c r="B30" t="s">
        <v>44</v>
      </c>
      <c r="C30" t="s">
        <v>8</v>
      </c>
      <c r="D30" t="s">
        <v>9</v>
      </c>
      <c r="E30">
        <v>13</v>
      </c>
      <c r="F30">
        <v>50</v>
      </c>
      <c r="G30" s="1">
        <v>45334</v>
      </c>
      <c r="H30">
        <f>Table1[[#This Row],[Quantity]]*Table1[[#This Row],[UnitPrice]]</f>
        <v>650</v>
      </c>
      <c r="J30" t="s">
        <v>70</v>
      </c>
      <c r="Q30" s="4" t="s">
        <v>74</v>
      </c>
      <c r="R30" t="s">
        <v>76</v>
      </c>
    </row>
    <row r="31" spans="1:18" x14ac:dyDescent="0.3">
      <c r="A31">
        <v>1030</v>
      </c>
      <c r="B31" t="s">
        <v>45</v>
      </c>
      <c r="C31" t="s">
        <v>11</v>
      </c>
      <c r="D31" t="s">
        <v>12</v>
      </c>
      <c r="E31">
        <v>32</v>
      </c>
      <c r="F31">
        <v>10</v>
      </c>
      <c r="G31" s="1">
        <v>45335</v>
      </c>
      <c r="H31">
        <f>Table1[[#This Row],[Quantity]]*Table1[[#This Row],[UnitPrice]]</f>
        <v>320</v>
      </c>
      <c r="Q31" s="7" t="s">
        <v>78</v>
      </c>
      <c r="R31" s="6">
        <v>500</v>
      </c>
    </row>
    <row r="32" spans="1:18" x14ac:dyDescent="0.3">
      <c r="A32">
        <v>1031</v>
      </c>
      <c r="B32" t="s">
        <v>46</v>
      </c>
      <c r="C32" t="s">
        <v>14</v>
      </c>
      <c r="D32" t="s">
        <v>15</v>
      </c>
      <c r="E32">
        <v>10</v>
      </c>
      <c r="F32">
        <v>25</v>
      </c>
      <c r="G32" s="1">
        <v>45336</v>
      </c>
      <c r="H32">
        <f>Table1[[#This Row],[Quantity]]*Table1[[#This Row],[UnitPrice]]</f>
        <v>250</v>
      </c>
      <c r="Q32" s="7" t="s">
        <v>79</v>
      </c>
      <c r="R32" s="6">
        <v>200</v>
      </c>
    </row>
    <row r="33" spans="1:18" x14ac:dyDescent="0.3">
      <c r="A33">
        <v>1032</v>
      </c>
      <c r="B33" t="s">
        <v>47</v>
      </c>
      <c r="C33" t="s">
        <v>17</v>
      </c>
      <c r="D33" t="s">
        <v>19</v>
      </c>
      <c r="E33">
        <v>18</v>
      </c>
      <c r="F33">
        <v>5</v>
      </c>
      <c r="G33" s="1">
        <v>45338</v>
      </c>
      <c r="H33">
        <f>Table1[[#This Row],[Quantity]]*Table1[[#This Row],[UnitPrice]]</f>
        <v>90</v>
      </c>
      <c r="Q33" s="7" t="s">
        <v>80</v>
      </c>
      <c r="R33" s="6">
        <v>375</v>
      </c>
    </row>
    <row r="34" spans="1:18" x14ac:dyDescent="0.3">
      <c r="A34">
        <v>1033</v>
      </c>
      <c r="B34" t="s">
        <v>48</v>
      </c>
      <c r="C34" t="s">
        <v>8</v>
      </c>
      <c r="D34" t="s">
        <v>22</v>
      </c>
      <c r="E34">
        <v>22</v>
      </c>
      <c r="F34">
        <v>8</v>
      </c>
      <c r="G34" s="1">
        <v>45339</v>
      </c>
      <c r="H34">
        <f>Table1[[#This Row],[Quantity]]*Table1[[#This Row],[UnitPrice]]</f>
        <v>176</v>
      </c>
      <c r="Q34" s="7" t="s">
        <v>81</v>
      </c>
      <c r="R34" s="6">
        <v>250</v>
      </c>
    </row>
    <row r="35" spans="1:18" x14ac:dyDescent="0.3">
      <c r="A35">
        <v>1034</v>
      </c>
      <c r="B35" t="s">
        <v>49</v>
      </c>
      <c r="C35" t="s">
        <v>11</v>
      </c>
      <c r="D35" t="s">
        <v>9</v>
      </c>
      <c r="E35">
        <v>17</v>
      </c>
      <c r="F35">
        <v>50</v>
      </c>
      <c r="G35" s="1">
        <v>45340</v>
      </c>
      <c r="H35">
        <f>Table1[[#This Row],[Quantity]]*Table1[[#This Row],[UnitPrice]]</f>
        <v>850</v>
      </c>
      <c r="Q35" s="7" t="s">
        <v>82</v>
      </c>
      <c r="R35" s="6">
        <v>150</v>
      </c>
    </row>
    <row r="36" spans="1:18" x14ac:dyDescent="0.3">
      <c r="A36">
        <v>1035</v>
      </c>
      <c r="B36" t="s">
        <v>50</v>
      </c>
      <c r="C36" t="s">
        <v>14</v>
      </c>
      <c r="D36" t="s">
        <v>12</v>
      </c>
      <c r="E36">
        <v>19</v>
      </c>
      <c r="F36">
        <v>10</v>
      </c>
      <c r="G36" s="1">
        <v>45341</v>
      </c>
      <c r="H36">
        <f>Table1[[#This Row],[Quantity]]*Table1[[#This Row],[UnitPrice]]</f>
        <v>190</v>
      </c>
      <c r="Q36" s="7" t="s">
        <v>83</v>
      </c>
      <c r="R36" s="6">
        <v>600</v>
      </c>
    </row>
    <row r="37" spans="1:18" x14ac:dyDescent="0.3">
      <c r="A37">
        <v>1036</v>
      </c>
      <c r="B37" t="s">
        <v>51</v>
      </c>
      <c r="C37" t="s">
        <v>17</v>
      </c>
      <c r="D37" t="s">
        <v>15</v>
      </c>
      <c r="E37">
        <v>15</v>
      </c>
      <c r="F37">
        <v>25</v>
      </c>
      <c r="G37" s="1">
        <v>45343</v>
      </c>
      <c r="H37">
        <f>Table1[[#This Row],[Quantity]]*Table1[[#This Row],[UnitPrice]]</f>
        <v>375</v>
      </c>
      <c r="Q37" s="7" t="s">
        <v>84</v>
      </c>
      <c r="R37" s="6">
        <v>200</v>
      </c>
    </row>
    <row r="38" spans="1:18" x14ac:dyDescent="0.3">
      <c r="A38">
        <v>1037</v>
      </c>
      <c r="B38" t="s">
        <v>52</v>
      </c>
      <c r="C38" t="s">
        <v>8</v>
      </c>
      <c r="D38" t="s">
        <v>19</v>
      </c>
      <c r="E38">
        <v>28</v>
      </c>
      <c r="F38">
        <v>5</v>
      </c>
      <c r="G38" s="1">
        <v>45344</v>
      </c>
      <c r="H38">
        <f>Table1[[#This Row],[Quantity]]*Table1[[#This Row],[UnitPrice]]</f>
        <v>140</v>
      </c>
      <c r="Q38" s="7" t="s">
        <v>85</v>
      </c>
      <c r="R38" s="6">
        <v>180</v>
      </c>
    </row>
    <row r="39" spans="1:18" x14ac:dyDescent="0.3">
      <c r="A39">
        <v>1038</v>
      </c>
      <c r="B39" t="s">
        <v>53</v>
      </c>
      <c r="C39" t="s">
        <v>11</v>
      </c>
      <c r="D39" t="s">
        <v>22</v>
      </c>
      <c r="E39">
        <v>24</v>
      </c>
      <c r="F39">
        <v>8</v>
      </c>
      <c r="G39" s="1">
        <v>45345</v>
      </c>
      <c r="H39">
        <f>Table1[[#This Row],[Quantity]]*Table1[[#This Row],[UnitPrice]]</f>
        <v>192</v>
      </c>
      <c r="Q39" s="7" t="s">
        <v>86</v>
      </c>
      <c r="R39" s="6">
        <v>550</v>
      </c>
    </row>
    <row r="40" spans="1:18" x14ac:dyDescent="0.3">
      <c r="A40">
        <v>1039</v>
      </c>
      <c r="B40" t="s">
        <v>54</v>
      </c>
      <c r="C40" t="s">
        <v>14</v>
      </c>
      <c r="D40" t="s">
        <v>9</v>
      </c>
      <c r="E40">
        <v>16</v>
      </c>
      <c r="F40">
        <v>50</v>
      </c>
      <c r="G40" s="1">
        <v>45347</v>
      </c>
      <c r="H40">
        <f>Table1[[#This Row],[Quantity]]*Table1[[#This Row],[UnitPrice]]</f>
        <v>800</v>
      </c>
      <c r="Q40" s="7" t="s">
        <v>87</v>
      </c>
      <c r="R40" s="6">
        <v>400</v>
      </c>
    </row>
    <row r="41" spans="1:18" x14ac:dyDescent="0.3">
      <c r="A41">
        <v>1040</v>
      </c>
      <c r="B41" t="s">
        <v>55</v>
      </c>
      <c r="C41" t="s">
        <v>17</v>
      </c>
      <c r="D41" t="s">
        <v>12</v>
      </c>
      <c r="E41">
        <v>27</v>
      </c>
      <c r="F41">
        <v>10</v>
      </c>
      <c r="G41" s="1">
        <v>45348</v>
      </c>
      <c r="H41">
        <f>Table1[[#This Row],[Quantity]]*Table1[[#This Row],[UnitPrice]]</f>
        <v>270</v>
      </c>
      <c r="Q41" s="7" t="s">
        <v>88</v>
      </c>
      <c r="R41" s="6">
        <v>200</v>
      </c>
    </row>
    <row r="42" spans="1:18" x14ac:dyDescent="0.3">
      <c r="A42">
        <v>1041</v>
      </c>
      <c r="B42" t="s">
        <v>56</v>
      </c>
      <c r="C42" t="s">
        <v>8</v>
      </c>
      <c r="D42" t="s">
        <v>15</v>
      </c>
      <c r="E42">
        <v>21</v>
      </c>
      <c r="F42">
        <v>25</v>
      </c>
      <c r="G42" s="1">
        <v>45349</v>
      </c>
      <c r="H42">
        <f>Table1[[#This Row],[Quantity]]*Table1[[#This Row],[UnitPrice]]</f>
        <v>525</v>
      </c>
      <c r="Q42" s="7" t="s">
        <v>89</v>
      </c>
      <c r="R42" s="6">
        <v>280</v>
      </c>
    </row>
    <row r="43" spans="1:18" x14ac:dyDescent="0.3">
      <c r="A43">
        <v>1042</v>
      </c>
      <c r="B43" t="s">
        <v>57</v>
      </c>
      <c r="C43" t="s">
        <v>11</v>
      </c>
      <c r="D43" t="s">
        <v>19</v>
      </c>
      <c r="E43">
        <v>30</v>
      </c>
      <c r="F43">
        <v>5</v>
      </c>
      <c r="G43" s="1">
        <v>45350</v>
      </c>
      <c r="H43">
        <f>Table1[[#This Row],[Quantity]]*Table1[[#This Row],[UnitPrice]]</f>
        <v>150</v>
      </c>
      <c r="Q43" s="7" t="s">
        <v>90</v>
      </c>
      <c r="R43" s="6">
        <v>700</v>
      </c>
    </row>
    <row r="44" spans="1:18" x14ac:dyDescent="0.3">
      <c r="A44">
        <v>1043</v>
      </c>
      <c r="B44" t="s">
        <v>58</v>
      </c>
      <c r="C44" t="s">
        <v>14</v>
      </c>
      <c r="D44" t="s">
        <v>22</v>
      </c>
      <c r="E44">
        <v>26</v>
      </c>
      <c r="F44">
        <v>8</v>
      </c>
      <c r="G44" s="1">
        <v>45352</v>
      </c>
      <c r="H44">
        <f>Table1[[#This Row],[Quantity]]*Table1[[#This Row],[UnitPrice]]</f>
        <v>208</v>
      </c>
      <c r="Q44" s="7" t="s">
        <v>91</v>
      </c>
      <c r="R44" s="6">
        <v>280</v>
      </c>
    </row>
    <row r="45" spans="1:18" x14ac:dyDescent="0.3">
      <c r="A45">
        <v>1044</v>
      </c>
      <c r="B45" t="s">
        <v>59</v>
      </c>
      <c r="C45" t="s">
        <v>17</v>
      </c>
      <c r="D45" t="s">
        <v>9</v>
      </c>
      <c r="E45">
        <v>14</v>
      </c>
      <c r="F45">
        <v>50</v>
      </c>
      <c r="G45" s="1">
        <v>45353</v>
      </c>
      <c r="H45">
        <f>Table1[[#This Row],[Quantity]]*Table1[[#This Row],[UnitPrice]]</f>
        <v>700</v>
      </c>
      <c r="Q45" s="7" t="s">
        <v>92</v>
      </c>
      <c r="R45" s="6">
        <v>300</v>
      </c>
    </row>
    <row r="46" spans="1:18" x14ac:dyDescent="0.3">
      <c r="A46">
        <v>1045</v>
      </c>
      <c r="B46" t="s">
        <v>60</v>
      </c>
      <c r="C46" t="s">
        <v>8</v>
      </c>
      <c r="D46" t="s">
        <v>12</v>
      </c>
      <c r="E46">
        <v>20</v>
      </c>
      <c r="F46">
        <v>10</v>
      </c>
      <c r="G46" s="1">
        <v>45354</v>
      </c>
      <c r="H46">
        <f>Table1[[#This Row],[Quantity]]*Table1[[#This Row],[UnitPrice]]</f>
        <v>200</v>
      </c>
      <c r="Q46" s="7" t="s">
        <v>93</v>
      </c>
      <c r="R46" s="6">
        <v>125</v>
      </c>
    </row>
    <row r="47" spans="1:18" x14ac:dyDescent="0.3">
      <c r="A47">
        <v>1046</v>
      </c>
      <c r="B47" t="s">
        <v>61</v>
      </c>
      <c r="C47" t="s">
        <v>11</v>
      </c>
      <c r="D47" t="s">
        <v>15</v>
      </c>
      <c r="E47">
        <v>17</v>
      </c>
      <c r="F47">
        <v>25</v>
      </c>
      <c r="G47" s="1">
        <v>45355</v>
      </c>
      <c r="H47">
        <f>Table1[[#This Row],[Quantity]]*Table1[[#This Row],[UnitPrice]]</f>
        <v>425</v>
      </c>
      <c r="Q47" s="7" t="s">
        <v>94</v>
      </c>
      <c r="R47" s="6">
        <v>160</v>
      </c>
    </row>
    <row r="48" spans="1:18" x14ac:dyDescent="0.3">
      <c r="A48">
        <v>1047</v>
      </c>
      <c r="B48" t="s">
        <v>62</v>
      </c>
      <c r="C48" t="s">
        <v>14</v>
      </c>
      <c r="D48" t="s">
        <v>19</v>
      </c>
      <c r="E48">
        <v>19</v>
      </c>
      <c r="F48">
        <v>5</v>
      </c>
      <c r="G48" s="1">
        <v>45356</v>
      </c>
      <c r="H48">
        <f>Table1[[#This Row],[Quantity]]*Table1[[#This Row],[UnitPrice]]</f>
        <v>95</v>
      </c>
      <c r="Q48" s="7" t="s">
        <v>95</v>
      </c>
      <c r="R48" s="6">
        <v>500</v>
      </c>
    </row>
    <row r="49" spans="1:18" x14ac:dyDescent="0.3">
      <c r="A49">
        <v>1048</v>
      </c>
      <c r="B49" t="s">
        <v>63</v>
      </c>
      <c r="C49" t="s">
        <v>17</v>
      </c>
      <c r="D49" t="s">
        <v>22</v>
      </c>
      <c r="E49">
        <v>32</v>
      </c>
      <c r="F49">
        <v>8</v>
      </c>
      <c r="G49" s="1">
        <v>45357</v>
      </c>
      <c r="H49">
        <f>Table1[[#This Row],[Quantity]]*Table1[[#This Row],[UnitPrice]]</f>
        <v>256</v>
      </c>
      <c r="Q49" s="7" t="s">
        <v>96</v>
      </c>
      <c r="R49" s="6">
        <v>150</v>
      </c>
    </row>
    <row r="50" spans="1:18" x14ac:dyDescent="0.3">
      <c r="A50">
        <v>1049</v>
      </c>
      <c r="B50" t="s">
        <v>64</v>
      </c>
      <c r="C50" t="s">
        <v>8</v>
      </c>
      <c r="D50" t="s">
        <v>9</v>
      </c>
      <c r="E50">
        <v>12</v>
      </c>
      <c r="F50">
        <v>50</v>
      </c>
      <c r="G50" s="1">
        <v>45358</v>
      </c>
      <c r="H50">
        <f>Table1[[#This Row],[Quantity]]*Table1[[#This Row],[UnitPrice]]</f>
        <v>600</v>
      </c>
      <c r="Q50" s="7" t="s">
        <v>97</v>
      </c>
      <c r="R50" s="6">
        <v>450</v>
      </c>
    </row>
    <row r="51" spans="1:18" x14ac:dyDescent="0.3">
      <c r="A51">
        <v>1050</v>
      </c>
      <c r="B51" t="s">
        <v>65</v>
      </c>
      <c r="C51" t="s">
        <v>11</v>
      </c>
      <c r="D51" t="s">
        <v>12</v>
      </c>
      <c r="E51">
        <v>25</v>
      </c>
      <c r="F51">
        <v>10</v>
      </c>
      <c r="G51" s="1">
        <v>45359</v>
      </c>
      <c r="H51">
        <f>Table1[[#This Row],[Quantity]]*Table1[[#This Row],[UnitPrice]]</f>
        <v>250</v>
      </c>
      <c r="Q51" s="7" t="s">
        <v>98</v>
      </c>
      <c r="R51" s="6">
        <v>450</v>
      </c>
    </row>
    <row r="52" spans="1:18" x14ac:dyDescent="0.3">
      <c r="Q52" s="7" t="s">
        <v>99</v>
      </c>
      <c r="R52" s="6">
        <v>175</v>
      </c>
    </row>
    <row r="53" spans="1:18" x14ac:dyDescent="0.3">
      <c r="Q53" s="7" t="s">
        <v>100</v>
      </c>
      <c r="R53" s="6">
        <v>240</v>
      </c>
    </row>
    <row r="54" spans="1:18" x14ac:dyDescent="0.3">
      <c r="Q54" s="7" t="s">
        <v>101</v>
      </c>
      <c r="R54" s="6">
        <v>550</v>
      </c>
    </row>
    <row r="55" spans="1:18" x14ac:dyDescent="0.3">
      <c r="Q55" s="7" t="s">
        <v>102</v>
      </c>
      <c r="R55" s="6">
        <v>140</v>
      </c>
    </row>
    <row r="56" spans="1:18" x14ac:dyDescent="0.3">
      <c r="Q56" s="7" t="s">
        <v>103</v>
      </c>
      <c r="R56" s="6">
        <v>400</v>
      </c>
    </row>
    <row r="57" spans="1:18" x14ac:dyDescent="0.3">
      <c r="Q57" s="7" t="s">
        <v>104</v>
      </c>
      <c r="R57" s="6">
        <v>110</v>
      </c>
    </row>
    <row r="58" spans="1:18" x14ac:dyDescent="0.3">
      <c r="Q58" s="7" t="s">
        <v>105</v>
      </c>
      <c r="R58" s="6">
        <v>216</v>
      </c>
    </row>
    <row r="59" spans="1:18" x14ac:dyDescent="0.3">
      <c r="Q59" s="7" t="s">
        <v>106</v>
      </c>
      <c r="R59" s="6">
        <v>650</v>
      </c>
    </row>
    <row r="60" spans="1:18" x14ac:dyDescent="0.3">
      <c r="Q60" s="7" t="s">
        <v>107</v>
      </c>
      <c r="R60" s="6">
        <v>320</v>
      </c>
    </row>
    <row r="61" spans="1:18" x14ac:dyDescent="0.3">
      <c r="Q61" s="7" t="s">
        <v>108</v>
      </c>
      <c r="R61" s="6">
        <v>250</v>
      </c>
    </row>
    <row r="62" spans="1:18" x14ac:dyDescent="0.3">
      <c r="Q62" s="7" t="s">
        <v>109</v>
      </c>
      <c r="R62" s="6">
        <v>90</v>
      </c>
    </row>
    <row r="63" spans="1:18" x14ac:dyDescent="0.3">
      <c r="Q63" s="7" t="s">
        <v>110</v>
      </c>
      <c r="R63" s="6">
        <v>176</v>
      </c>
    </row>
    <row r="64" spans="1:18" x14ac:dyDescent="0.3">
      <c r="Q64" s="7" t="s">
        <v>111</v>
      </c>
      <c r="R64" s="6">
        <v>850</v>
      </c>
    </row>
    <row r="65" spans="17:18" x14ac:dyDescent="0.3">
      <c r="Q65" s="7" t="s">
        <v>112</v>
      </c>
      <c r="R65" s="6">
        <v>190</v>
      </c>
    </row>
    <row r="66" spans="17:18" x14ac:dyDescent="0.3">
      <c r="Q66" s="7" t="s">
        <v>113</v>
      </c>
      <c r="R66" s="6">
        <v>375</v>
      </c>
    </row>
    <row r="67" spans="17:18" x14ac:dyDescent="0.3">
      <c r="Q67" s="7" t="s">
        <v>114</v>
      </c>
      <c r="R67" s="6">
        <v>140</v>
      </c>
    </row>
    <row r="68" spans="17:18" x14ac:dyDescent="0.3">
      <c r="Q68" s="7" t="s">
        <v>115</v>
      </c>
      <c r="R68" s="6">
        <v>192</v>
      </c>
    </row>
    <row r="69" spans="17:18" x14ac:dyDescent="0.3">
      <c r="Q69" s="7" t="s">
        <v>116</v>
      </c>
      <c r="R69" s="6">
        <v>800</v>
      </c>
    </row>
    <row r="70" spans="17:18" x14ac:dyDescent="0.3">
      <c r="Q70" s="7" t="s">
        <v>117</v>
      </c>
      <c r="R70" s="6">
        <v>270</v>
      </c>
    </row>
    <row r="71" spans="17:18" x14ac:dyDescent="0.3">
      <c r="Q71" s="7" t="s">
        <v>118</v>
      </c>
      <c r="R71" s="6">
        <v>525</v>
      </c>
    </row>
    <row r="72" spans="17:18" x14ac:dyDescent="0.3">
      <c r="Q72" s="7" t="s">
        <v>119</v>
      </c>
      <c r="R72" s="6">
        <v>150</v>
      </c>
    </row>
    <row r="73" spans="17:18" x14ac:dyDescent="0.3">
      <c r="Q73" s="7" t="s">
        <v>120</v>
      </c>
      <c r="R73" s="6">
        <v>208</v>
      </c>
    </row>
    <row r="74" spans="17:18" x14ac:dyDescent="0.3">
      <c r="Q74" s="7" t="s">
        <v>121</v>
      </c>
      <c r="R74" s="6">
        <v>700</v>
      </c>
    </row>
    <row r="75" spans="17:18" x14ac:dyDescent="0.3">
      <c r="Q75" s="7" t="s">
        <v>122</v>
      </c>
      <c r="R75" s="6">
        <v>200</v>
      </c>
    </row>
    <row r="76" spans="17:18" x14ac:dyDescent="0.3">
      <c r="Q76" s="7" t="s">
        <v>123</v>
      </c>
      <c r="R76" s="6">
        <v>425</v>
      </c>
    </row>
    <row r="77" spans="17:18" x14ac:dyDescent="0.3">
      <c r="Q77" s="7" t="s">
        <v>124</v>
      </c>
      <c r="R77" s="6">
        <v>95</v>
      </c>
    </row>
    <row r="78" spans="17:18" x14ac:dyDescent="0.3">
      <c r="Q78" s="7" t="s">
        <v>125</v>
      </c>
      <c r="R78" s="6">
        <v>256</v>
      </c>
    </row>
    <row r="79" spans="17:18" x14ac:dyDescent="0.3">
      <c r="Q79" s="7" t="s">
        <v>126</v>
      </c>
      <c r="R79" s="6">
        <v>600</v>
      </c>
    </row>
    <row r="80" spans="17:18" x14ac:dyDescent="0.3">
      <c r="Q80" s="7" t="s">
        <v>127</v>
      </c>
      <c r="R80" s="6">
        <v>250</v>
      </c>
    </row>
    <row r="81" spans="17:18" x14ac:dyDescent="0.3">
      <c r="Q81" s="7" t="s">
        <v>75</v>
      </c>
      <c r="R81" s="6">
        <v>16543</v>
      </c>
    </row>
  </sheetData>
  <pageMargins left="0.7" right="0.7" top="0.75" bottom="0.75" header="0.3" footer="0.3"/>
  <drawing r:id="rId3"/>
  <tableParts count="1">
    <tablePart r:id="rId4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Abdul Wahid</dc:creator>
  <cp:lastModifiedBy>Abdul Wahid</cp:lastModifiedBy>
  <dcterms:created xsi:type="dcterms:W3CDTF">2026-02-15T19:20:15Z</dcterms:created>
  <dcterms:modified xsi:type="dcterms:W3CDTF">2026-02-15T19:33:28Z</dcterms:modified>
</cp:coreProperties>
</file>