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Desktop\Notes for DA\"/>
    </mc:Choice>
  </mc:AlternateContent>
  <xr:revisionPtr revIDLastSave="0" documentId="8_{F9171904-3CE2-4425-9668-AD45E139A448}" xr6:coauthVersionLast="47" xr6:coauthVersionMax="47" xr10:uidLastSave="{00000000-0000-0000-0000-000000000000}"/>
  <bookViews>
    <workbookView xWindow="-108" yWindow="-108" windowWidth="23256" windowHeight="12456" xr2:uid="{7424D15F-2CE9-4A15-86B2-0407EFBC5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5" i="1" l="1"/>
  <c r="B56" i="1"/>
  <c r="D45" i="1"/>
  <c r="D46" i="1"/>
  <c r="D47" i="1"/>
  <c r="B41" i="1"/>
  <c r="B32" i="1"/>
  <c r="C20" i="1" a="1"/>
  <c r="C20" i="1" s="1"/>
  <c r="C21" i="1" a="1"/>
  <c r="C21" i="1" s="1"/>
  <c r="C22" i="1" a="1"/>
  <c r="C22" i="1" s="1"/>
  <c r="C23" i="1" a="1"/>
  <c r="C23" i="1" s="1"/>
  <c r="C19" i="1" a="1"/>
  <c r="C19" i="1" s="1"/>
  <c r="D13" i="1"/>
  <c r="D14" i="1"/>
  <c r="D15" i="1"/>
  <c r="D12" i="1"/>
  <c r="C4" i="1"/>
  <c r="C5" i="1"/>
  <c r="C6" i="1"/>
  <c r="C7" i="1"/>
  <c r="C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<sst xmlns="http://schemas.openxmlformats.org/spreadsheetml/2006/main" count="88" uniqueCount="74">
  <si>
    <t>Student Names</t>
  </si>
  <si>
    <t>Marks</t>
  </si>
  <si>
    <t xml:space="preserve">Riya </t>
  </si>
  <si>
    <t>Siya</t>
  </si>
  <si>
    <t>Raju</t>
  </si>
  <si>
    <t>Rahul</t>
  </si>
  <si>
    <t>Ram</t>
  </si>
  <si>
    <t>Result</t>
  </si>
  <si>
    <t>Q1. Write a formula to check if the marks in cell are greater than or equal to 40. If yes, return , otherwise . B2 "Pass" "Fail</t>
  </si>
  <si>
    <t>Q2. company gives a bonus if sales are above 40,000 and attendance is greater than or equal to 90%. Write a formula to calculate whether the employee will get a bonus or not.</t>
  </si>
  <si>
    <t>Employee</t>
  </si>
  <si>
    <t>Sales</t>
  </si>
  <si>
    <t>Attendance</t>
  </si>
  <si>
    <t>Arjun</t>
  </si>
  <si>
    <t>Simran</t>
  </si>
  <si>
    <t>Rohit</t>
  </si>
  <si>
    <t>Anjali</t>
  </si>
  <si>
    <t>Bonus Result</t>
  </si>
  <si>
    <t xml:space="preserve">Ans- The Formula we have used to find out the bonus result is =if(AND(@sales&gt;40000, @attendance&gt;=90, "Bonus", "No Bonus")  </t>
  </si>
  <si>
    <t>the And function checks the logical value of both statements and when both are correct then only it will provide the true statement</t>
  </si>
  <si>
    <t>Q3. write a nested IF formula: If marks in B2 are ≥ 90 → “A”, ≥ 75 → “B”, ≥ 50 → “C”, otherwise "Fail".</t>
  </si>
  <si>
    <t>Student Name</t>
  </si>
  <si>
    <t>Raj</t>
  </si>
  <si>
    <t>Neha</t>
  </si>
  <si>
    <t>Vivek</t>
  </si>
  <si>
    <t>Rani</t>
  </si>
  <si>
    <t>Sneha</t>
  </si>
  <si>
    <t>Grades</t>
  </si>
  <si>
    <t xml:space="preserve"> Ans- We used IFS here so that we can provide multiple logical conditions and the True, "Fail" works as the default (else) condition</t>
  </si>
  <si>
    <t>Q4. Find the Department of Employee ID = E103. Also explain which LOOKUP function is used and why?</t>
  </si>
  <si>
    <t>EmpID</t>
  </si>
  <si>
    <t>Names</t>
  </si>
  <si>
    <t>Department</t>
  </si>
  <si>
    <t>E101</t>
  </si>
  <si>
    <t>E102</t>
  </si>
  <si>
    <t>E103</t>
  </si>
  <si>
    <t>E104</t>
  </si>
  <si>
    <t>Riya</t>
  </si>
  <si>
    <t>Roshini</t>
  </si>
  <si>
    <t>Sejal</t>
  </si>
  <si>
    <t>IT</t>
  </si>
  <si>
    <t>HR</t>
  </si>
  <si>
    <t>Finance</t>
  </si>
  <si>
    <t>Ans- VLOOKUP is used because it searches for a value in the first column of a table and returns the corresponding value from another column with an exact match.</t>
  </si>
  <si>
    <t>Emp ID 103 works in:</t>
  </si>
  <si>
    <t>Q5. company has set the following commission structure for its sales team: If a salesperson achieves sales of ₹45,000, use the VLOOKUP function to determine the commission rate applicable</t>
  </si>
  <si>
    <t>Sales Amount</t>
  </si>
  <si>
    <t>Commission Rate</t>
  </si>
  <si>
    <t>Commission for 45,000</t>
  </si>
  <si>
    <t>Ans- Here we used Vlookup on Approximate match by putting in Range lookup value as True so we got 10% as our answer</t>
  </si>
  <si>
    <t>Q6. The HR department maintains the following leave records of employees:Bonus or not Write an IF function to check whether an employee has Exceeded their allowed leave balance. If Leaves Taken &gt; Allowed Leaves, display "Exceeded". Otherwise, display "OK".</t>
  </si>
  <si>
    <t>Employee Name</t>
  </si>
  <si>
    <t>Leaves Taken</t>
  </si>
  <si>
    <t>Leaves Allowed</t>
  </si>
  <si>
    <t>Alex</t>
  </si>
  <si>
    <t>Bob</t>
  </si>
  <si>
    <t>Anna</t>
  </si>
  <si>
    <t>Leave Check</t>
  </si>
  <si>
    <t xml:space="preserve">Ans- We used =if(@leaves taken&gt;@leaves Allowed, "Exceeded", "Ok") here to check the leave status of the employees </t>
  </si>
  <si>
    <t>Q7. Find the salary of EmpID = E105 using INDEX-MATCH Function.</t>
  </si>
  <si>
    <t>Salary</t>
  </si>
  <si>
    <t>E105</t>
  </si>
  <si>
    <t>E106</t>
  </si>
  <si>
    <t>Salary of E=105</t>
  </si>
  <si>
    <t>Ans- The MATCH function locates EmpID E105, and INDEX returns the corresponding salary.</t>
  </si>
  <si>
    <t>Q8. Use the XLOOKUP function to find the Department of the employee with Emp ID = E303.</t>
  </si>
  <si>
    <t>E303</t>
  </si>
  <si>
    <t>E301</t>
  </si>
  <si>
    <t>Dep. Of E303:</t>
  </si>
  <si>
    <t>Ans-XLOOKUP searches Emp ID E303 in the Emp ID column and returns the corresponding Department from the Department column.</t>
  </si>
  <si>
    <t>Here the answer is Finance</t>
  </si>
  <si>
    <t>Here the answer is 72000</t>
  </si>
  <si>
    <t>Here the answer is IT</t>
  </si>
  <si>
    <t>Ans-  The Formula we used to find out the result is =If(@marks&gt;= 40, "Pass", "Fail") we used the if statement to check the logical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</si>
</sst>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4" tint="-0.249977111117893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NumberFormat="1" applyFont="1"/>
    <xf numFmtId="9" fontId="6" fillId="0" borderId="0" xfId="1" applyFont="1"/>
    <xf numFmtId="9" fontId="2" fillId="0" borderId="0" xfId="1" applyFont="1"/>
    <xf numFmtId="3" fontId="2" fillId="0" borderId="0" xfId="0" applyNumberFormat="1" applyFont="1"/>
  </cellXfs>
  <cellStyles count="2">
    <cellStyle name="Normal" xfId="0" builtinId="0"/>
    <cellStyle name="Percent" xfId="1" builtinId="5"/>
  </cellStyles>
  <dxfs count="3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31575-F8FD-4E13-ACA5-0EA9A61B4F63}" name="Table1" displayName="Table1" ref="A3:C8" totalsRowShown="0" headerRowDxfId="35" dataDxfId="34">
  <tableColumns count="3">
    <tableColumn id="1" xr3:uid="{F9564CB2-A607-4F73-AA78-449AC3F214AA}" name="Student Names" dataDxfId="38"/>
    <tableColumn id="2" xr3:uid="{2CC18783-E4FF-400F-AA0F-EBB57565E65D}" name="Marks" dataDxfId="37"/>
    <tableColumn id="3" xr3:uid="{52FB70B5-5D24-4E97-BF2C-BE9146B94F68}" name="Result" dataDxfId="36">
      <calculatedColumnFormula>IF(Table1[[#This Row],[Marks]]&gt;=40, "Pass", 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8C6309-EB49-47AF-BB55-207BF95812CD}" name="Table3" displayName="Table3" ref="A11:D15" totalsRowShown="0" headerRowDxfId="30" dataDxfId="29">
  <tableColumns count="4">
    <tableColumn id="1" xr3:uid="{177C6031-76D2-4042-9091-5EFDB4C11E5C}" name="Employee" dataDxfId="33"/>
    <tableColumn id="2" xr3:uid="{063C0033-506E-41AE-A126-1EB3251AB0F7}" name="Sales" dataDxfId="32"/>
    <tableColumn id="3" xr3:uid="{C627F709-0DC5-4CDA-B44F-1BC71E4891D8}" name="Attendance" dataDxfId="31"/>
    <tableColumn id="4" xr3:uid="{972A20B5-73EF-4DDE-A4C6-3C291FF35664}" name="Bonus Result" dataDxfId="28">
      <calculatedColumnFormula>IF(AND(Table3[[#This Row],[Sales]]&gt;40000, Table3[[#This Row],[Attendance]]&gt;=90), "Bonus", "No Bonus")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EC7C09-58EE-43DA-8E2D-1DEECAF86B38}" name="Table4" displayName="Table4" ref="A18:C23" totalsRowShown="0" headerRowDxfId="24" dataDxfId="23">
  <tableColumns count="3">
    <tableColumn id="1" xr3:uid="{5803BE53-C49E-44B9-A5CD-73B2060ACDA1}" name="Student Name" dataDxfId="27"/>
    <tableColumn id="2" xr3:uid="{96C8EDC4-5B4D-4F72-B56F-827DF4C91C45}" name="Marks" dataDxfId="26"/>
    <tableColumn id="3" xr3:uid="{8BC0EF86-540E-4998-96E8-0625FC95B0D7}" name="Grades" dataDxfId="25">
      <calculatedColumnFormula array="1">_xlfn.IFS(B19&gt;=90, "A", B19&gt;=75, "B", B19&gt;=50, "C", TRUE, "Fail")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3C3B7B-49D5-4E2E-81A6-55651259B017}" name="Table7" displayName="Table7" ref="A26:C30" totalsRowShown="0" headerRowDxfId="19" dataDxfId="18">
  <tableColumns count="3">
    <tableColumn id="1" xr3:uid="{B1D47E60-D91D-4801-8918-E62C572490C4}" name="EmpID" dataDxfId="22"/>
    <tableColumn id="2" xr3:uid="{2F010470-B471-455F-AEE5-D40C5F667A02}" name="Names" dataDxfId="21"/>
    <tableColumn id="3" xr3:uid="{554F5711-855E-4E5C-9497-8EB04DF86974}" name="Department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6B53FD-EFDE-4F3B-ADC9-A09017A5B2C9}" name="Table8" displayName="Table8" ref="A35:B39" totalsRowShown="0" headerRowDxfId="15" dataDxfId="14">
  <tableColumns count="2">
    <tableColumn id="1" xr3:uid="{4431596E-830D-4C4D-974C-BCFF000FAE86}" name="Sales Amount" dataDxfId="17"/>
    <tableColumn id="2" xr3:uid="{F5B1D121-A64D-4041-A3FD-153FC833D01D}" name="Commission Rate" dataDxfId="16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6DA530-2D52-4933-9299-043337D4A632}" name="Table9" displayName="Table9" ref="A44:D47" totalsRowShown="0" headerRowDxfId="9" dataDxfId="8">
  <tableColumns count="4">
    <tableColumn id="1" xr3:uid="{841E883E-B62B-41DD-A102-094252FB65B7}" name="Employee Name" dataDxfId="13"/>
    <tableColumn id="2" xr3:uid="{03315A7B-E168-470A-8104-580C3A674648}" name="Leaves Taken" dataDxfId="12"/>
    <tableColumn id="3" xr3:uid="{C79015B8-CACB-4138-9D1C-AD770A273F71}" name="Leaves Allowed" dataDxfId="11"/>
    <tableColumn id="4" xr3:uid="{553658C4-9723-47C2-9B65-075DD1086BA3}" name="Leave Check" dataDxfId="10">
      <calculatedColumnFormula>IF(Table9[[#This Row],[Leaves Taken]]&gt;Table9[[#This Row],[Leaves Allowed]], "Exceeded", "Ok")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5BAD5A-1981-4502-BAC7-311520458082}" name="Table10" displayName="Table10" ref="A50:B54" totalsRowShown="0" headerRowDxfId="5" dataDxfId="4">
  <tableColumns count="2">
    <tableColumn id="1" xr3:uid="{C1FCE1B8-CB3F-4B14-A66C-FB358D0977AF}" name="EmpID" dataDxfId="7"/>
    <tableColumn id="2" xr3:uid="{ED055134-1914-4962-BAA9-213F89B0FFE4}" name="Salary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9602D3-8A7B-455D-B511-A26E165D3306}" name="Table11" displayName="Table11" ref="A59:B63" totalsRowShown="0" headerRowDxfId="1" dataDxfId="0">
  <tableColumns count="2">
    <tableColumn id="1" xr3:uid="{2BFA73B9-8EA7-4830-A700-9196F19EF499}" name="EmpID" dataDxfId="3"/>
    <tableColumn id="2" xr3:uid="{4FCC0558-693A-450D-B137-35EB1362801E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738F-88C5-4104-8B66-D47BF8A4CA89}">
  <dimension ref="A2:U65"/>
  <sheetViews>
    <sheetView tabSelected="1" topLeftCell="B46" workbookViewId="0">
      <selection activeCell="D61" sqref="D61:E61"/>
    </sheetView>
  </sheetViews>
  <sheetFormatPr defaultRowHeight="14.4" x14ac:dyDescent="0.3"/>
  <cols>
    <col min="1" max="1" width="19.6640625" customWidth="1"/>
    <col min="2" max="2" width="17.33203125" customWidth="1"/>
    <col min="3" max="3" width="15.77734375" customWidth="1"/>
    <col min="4" max="4" width="14.33203125" customWidth="1"/>
  </cols>
  <sheetData>
    <row r="2" spans="1:19" ht="17.399999999999999" x14ac:dyDescent="0.35">
      <c r="A2" s="3" t="s">
        <v>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9" ht="15.6" x14ac:dyDescent="0.3">
      <c r="A3" s="4" t="s">
        <v>0</v>
      </c>
      <c r="B3" s="4" t="s">
        <v>1</v>
      </c>
      <c r="C3" s="4" t="s">
        <v>7</v>
      </c>
    </row>
    <row r="4" spans="1:19" ht="17.399999999999999" x14ac:dyDescent="0.35">
      <c r="A4" s="4" t="s">
        <v>2</v>
      </c>
      <c r="B4" s="4">
        <v>45</v>
      </c>
      <c r="C4" s="4" t="str">
        <f>IF(Table1[[#This Row],[Marks]]&gt;=40, "Pass", "Fail")</f>
        <v>Pass</v>
      </c>
      <c r="E4" s="2" t="s">
        <v>73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5.6" x14ac:dyDescent="0.3">
      <c r="A5" s="4" t="s">
        <v>3</v>
      </c>
      <c r="B5" s="4">
        <v>72</v>
      </c>
      <c r="C5" s="4" t="str">
        <f>IF(Table1[[#This Row],[Marks]]&gt;=40, "Pass", "Fail")</f>
        <v>Pass</v>
      </c>
    </row>
    <row r="6" spans="1:19" ht="15.6" x14ac:dyDescent="0.3">
      <c r="A6" s="4" t="s">
        <v>4</v>
      </c>
      <c r="B6" s="4">
        <v>55</v>
      </c>
      <c r="C6" s="4" t="str">
        <f>IF(Table1[[#This Row],[Marks]]&gt;=40, "Pass", "Fail")</f>
        <v>Pass</v>
      </c>
    </row>
    <row r="7" spans="1:19" ht="15.6" x14ac:dyDescent="0.3">
      <c r="A7" s="4" t="s">
        <v>5</v>
      </c>
      <c r="B7" s="4">
        <v>80</v>
      </c>
      <c r="C7" s="4" t="str">
        <f>IF(Table1[[#This Row],[Marks]]&gt;=40, "Pass", "Fail")</f>
        <v>Pass</v>
      </c>
    </row>
    <row r="8" spans="1:19" ht="15.6" x14ac:dyDescent="0.3">
      <c r="A8" s="4" t="s">
        <v>6</v>
      </c>
      <c r="B8" s="4">
        <v>30</v>
      </c>
      <c r="C8" s="4" t="str">
        <f>IF(Table1[[#This Row],[Marks]]&gt;=40, "Pass", "Fail")</f>
        <v>Fail</v>
      </c>
    </row>
    <row r="10" spans="1:19" ht="17.399999999999999" x14ac:dyDescent="0.3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6" x14ac:dyDescent="0.3">
      <c r="A11" s="4" t="s">
        <v>10</v>
      </c>
      <c r="B11" s="4" t="s">
        <v>11</v>
      </c>
      <c r="C11" s="4" t="s">
        <v>12</v>
      </c>
      <c r="D11" s="4" t="s">
        <v>17</v>
      </c>
    </row>
    <row r="12" spans="1:19" ht="17.399999999999999" x14ac:dyDescent="0.35">
      <c r="A12" s="4" t="s">
        <v>13</v>
      </c>
      <c r="B12" s="5">
        <v>55000</v>
      </c>
      <c r="C12" s="4">
        <v>95</v>
      </c>
      <c r="D12" s="4" t="str">
        <f>IF(AND(Table3[[#This Row],[Sales]]&gt;40000, Table3[[#This Row],[Attendance]]&gt;=90), "Bonus", "No Bonus")</f>
        <v>Bonus</v>
      </c>
      <c r="F12" s="2" t="s">
        <v>18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</row>
    <row r="13" spans="1:19" ht="17.399999999999999" x14ac:dyDescent="0.35">
      <c r="A13" s="4" t="s">
        <v>14</v>
      </c>
      <c r="B13" s="5">
        <v>65000</v>
      </c>
      <c r="C13" s="4">
        <v>85</v>
      </c>
      <c r="D13" s="4" t="str">
        <f>IF(AND(Table3[[#This Row],[Sales]]&gt;40000, Table3[[#This Row],[Attendance]]&gt;=90), "Bonus", "No Bonus")</f>
        <v>No Bonus</v>
      </c>
      <c r="F13" s="2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</row>
    <row r="14" spans="1:19" ht="15.6" x14ac:dyDescent="0.3">
      <c r="A14" s="4" t="s">
        <v>15</v>
      </c>
      <c r="B14" s="5">
        <v>30000</v>
      </c>
      <c r="C14" s="4">
        <v>90</v>
      </c>
      <c r="D14" s="4" t="str">
        <f>IF(AND(Table3[[#This Row],[Sales]]&gt;40000, Table3[[#This Row],[Attendance]]&gt;=90), "Bonus", "No Bonus")</f>
        <v>No Bonus</v>
      </c>
    </row>
    <row r="15" spans="1:19" ht="15.6" x14ac:dyDescent="0.3">
      <c r="A15" s="4" t="s">
        <v>16</v>
      </c>
      <c r="B15" s="5">
        <v>25000</v>
      </c>
      <c r="C15" s="4">
        <v>65</v>
      </c>
      <c r="D15" s="4" t="str">
        <f>IF(AND(Table3[[#This Row],[Sales]]&gt;40000, Table3[[#This Row],[Attendance]]&gt;=90), "Bonus", "No Bonus")</f>
        <v>No Bonus</v>
      </c>
    </row>
    <row r="17" spans="1:19" ht="17.399999999999999" x14ac:dyDescent="0.35">
      <c r="A17" s="6" t="s">
        <v>20</v>
      </c>
      <c r="B17" s="3"/>
      <c r="C17" s="3"/>
      <c r="D17" s="3"/>
      <c r="E17" s="3"/>
      <c r="F17" s="3"/>
      <c r="G17" s="3"/>
      <c r="H17" s="3"/>
    </row>
    <row r="18" spans="1:19" ht="15.6" x14ac:dyDescent="0.3">
      <c r="A18" s="7" t="s">
        <v>21</v>
      </c>
      <c r="B18" s="4" t="s">
        <v>1</v>
      </c>
      <c r="C18" s="4" t="s">
        <v>27</v>
      </c>
    </row>
    <row r="19" spans="1:19" ht="17.399999999999999" x14ac:dyDescent="0.35">
      <c r="A19" s="4" t="s">
        <v>22</v>
      </c>
      <c r="B19" s="4">
        <v>85</v>
      </c>
      <c r="C19" s="4" t="str" cm="1">
        <f t="array" ref="C19">_xlfn.IFS(B19&gt;=90, "A", B19&gt;=75, "B", B19&gt;=50, "C", TRUE, "Fail")</f>
        <v>B</v>
      </c>
      <c r="E19" s="2" t="s">
        <v>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6" x14ac:dyDescent="0.3">
      <c r="A20" s="4" t="s">
        <v>23</v>
      </c>
      <c r="B20" s="4">
        <v>96</v>
      </c>
      <c r="C20" s="4" t="str" cm="1">
        <f t="array" ref="C20">_xlfn.IFS(B20&gt;=90, "A", B20&gt;=75, "B", B20&gt;=50, "C", TRUE, "Fail")</f>
        <v>A</v>
      </c>
    </row>
    <row r="21" spans="1:19" ht="15.6" x14ac:dyDescent="0.3">
      <c r="A21" s="4" t="s">
        <v>24</v>
      </c>
      <c r="B21" s="4">
        <v>57</v>
      </c>
      <c r="C21" s="4" t="str" cm="1">
        <f t="array" ref="C21">_xlfn.IFS(B21&gt;=90, "A", B21&gt;=75, "B", B21&gt;=50, "C", TRUE, "Fail")</f>
        <v>C</v>
      </c>
    </row>
    <row r="22" spans="1:19" ht="15.6" x14ac:dyDescent="0.3">
      <c r="A22" s="4" t="s">
        <v>25</v>
      </c>
      <c r="B22" s="4">
        <v>92</v>
      </c>
      <c r="C22" s="4" t="str" cm="1">
        <f t="array" ref="C22">_xlfn.IFS(B22&gt;=90, "A", B22&gt;=75, "B", B22&gt;=50, "C", TRUE, "Fail")</f>
        <v>A</v>
      </c>
    </row>
    <row r="23" spans="1:19" ht="15.6" x14ac:dyDescent="0.3">
      <c r="A23" s="4" t="s">
        <v>26</v>
      </c>
      <c r="B23" s="4">
        <v>75</v>
      </c>
      <c r="C23" s="4" t="str" cm="1">
        <f t="array" ref="C23">_xlfn.IFS(B23&gt;=90, "A", B23&gt;=75, "B", B23&gt;=50, "C", TRUE, "Fail")</f>
        <v>B</v>
      </c>
    </row>
    <row r="25" spans="1:19" ht="17.399999999999999" x14ac:dyDescent="0.35">
      <c r="A25" s="6" t="s">
        <v>29</v>
      </c>
      <c r="B25" s="3"/>
      <c r="C25" s="9"/>
      <c r="D25" s="3"/>
      <c r="E25" s="3"/>
      <c r="F25" s="3"/>
      <c r="G25" s="3"/>
      <c r="H25" s="3"/>
    </row>
    <row r="26" spans="1:19" ht="15.6" x14ac:dyDescent="0.3">
      <c r="A26" s="1" t="s">
        <v>30</v>
      </c>
      <c r="B26" s="1" t="s">
        <v>31</v>
      </c>
      <c r="C26" s="1" t="s">
        <v>32</v>
      </c>
    </row>
    <row r="27" spans="1:19" ht="17.399999999999999" x14ac:dyDescent="0.35">
      <c r="A27" s="1" t="s">
        <v>33</v>
      </c>
      <c r="B27" s="1" t="s">
        <v>4</v>
      </c>
      <c r="C27" s="1" t="s">
        <v>40</v>
      </c>
      <c r="E27" s="8" t="s">
        <v>43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7.399999999999999" x14ac:dyDescent="0.35">
      <c r="A28" s="1" t="s">
        <v>34</v>
      </c>
      <c r="B28" s="1" t="s">
        <v>37</v>
      </c>
      <c r="C28" s="1" t="s">
        <v>41</v>
      </c>
      <c r="E28" s="8" t="s">
        <v>70</v>
      </c>
      <c r="F28" s="8"/>
      <c r="G28" s="8"/>
    </row>
    <row r="29" spans="1:19" ht="15.6" x14ac:dyDescent="0.3">
      <c r="A29" s="1" t="s">
        <v>35</v>
      </c>
      <c r="B29" s="1" t="s">
        <v>38</v>
      </c>
      <c r="C29" s="1" t="s">
        <v>42</v>
      </c>
    </row>
    <row r="30" spans="1:19" ht="15.6" x14ac:dyDescent="0.3">
      <c r="A30" s="1" t="s">
        <v>36</v>
      </c>
      <c r="B30" s="1" t="s">
        <v>39</v>
      </c>
      <c r="C30" s="1" t="s">
        <v>11</v>
      </c>
    </row>
    <row r="32" spans="1:19" ht="17.399999999999999" x14ac:dyDescent="0.35">
      <c r="A32" s="1" t="s">
        <v>44</v>
      </c>
      <c r="B32" s="8" t="str">
        <f>VLOOKUP(A29,Table7[#All],3,FALSE)</f>
        <v>Finance</v>
      </c>
    </row>
    <row r="34" spans="1:21" ht="17.399999999999999" x14ac:dyDescent="0.35">
      <c r="A34" s="3" t="s">
        <v>45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21" ht="15.6" x14ac:dyDescent="0.3">
      <c r="A35" s="1" t="s">
        <v>46</v>
      </c>
      <c r="B35" s="1" t="s">
        <v>47</v>
      </c>
    </row>
    <row r="36" spans="1:21" ht="17.399999999999999" x14ac:dyDescent="0.35">
      <c r="A36" s="1">
        <v>0</v>
      </c>
      <c r="B36" s="11">
        <v>0.05</v>
      </c>
      <c r="D36" s="8" t="s">
        <v>49</v>
      </c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21" ht="17.399999999999999" x14ac:dyDescent="0.35">
      <c r="A37" s="12">
        <v>20000</v>
      </c>
      <c r="B37" s="11">
        <v>0.1</v>
      </c>
      <c r="D37" s="8"/>
      <c r="E37" s="8"/>
    </row>
    <row r="38" spans="1:21" ht="15.6" x14ac:dyDescent="0.3">
      <c r="A38" s="12">
        <v>50000</v>
      </c>
      <c r="B38" s="11">
        <v>0.15</v>
      </c>
    </row>
    <row r="39" spans="1:21" ht="15.6" x14ac:dyDescent="0.3">
      <c r="A39" s="12">
        <v>80000</v>
      </c>
      <c r="B39" s="11">
        <v>0.2</v>
      </c>
    </row>
    <row r="41" spans="1:21" ht="17.399999999999999" x14ac:dyDescent="0.35">
      <c r="A41" s="1" t="s">
        <v>48</v>
      </c>
      <c r="B41" s="10">
        <f>VLOOKUP(45000,Table8[#All],2,TRUE)</f>
        <v>0.1</v>
      </c>
    </row>
    <row r="43" spans="1:21" ht="17.399999999999999" x14ac:dyDescent="0.35">
      <c r="A43" s="3" t="s">
        <v>50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6" x14ac:dyDescent="0.3">
      <c r="A44" s="1" t="s">
        <v>51</v>
      </c>
      <c r="B44" s="1" t="s">
        <v>52</v>
      </c>
      <c r="C44" s="1" t="s">
        <v>53</v>
      </c>
      <c r="D44" s="1" t="s">
        <v>57</v>
      </c>
    </row>
    <row r="45" spans="1:21" ht="17.399999999999999" x14ac:dyDescent="0.35">
      <c r="A45" s="1" t="s">
        <v>54</v>
      </c>
      <c r="B45" s="1">
        <v>10</v>
      </c>
      <c r="C45" s="1">
        <v>12</v>
      </c>
      <c r="D45" s="1" t="str">
        <f>IF(Table9[[#This Row],[Leaves Taken]]&gt;Table9[[#This Row],[Leaves Allowed]], "Exceeded", "Ok")</f>
        <v>Ok</v>
      </c>
      <c r="F45" s="8" t="s">
        <v>58</v>
      </c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21" ht="15.6" x14ac:dyDescent="0.3">
      <c r="A46" s="1" t="s">
        <v>55</v>
      </c>
      <c r="B46" s="1">
        <v>10</v>
      </c>
      <c r="C46" s="1">
        <v>15</v>
      </c>
      <c r="D46" s="1" t="str">
        <f>IF(Table9[[#This Row],[Leaves Taken]]&gt;Table9[[#This Row],[Leaves Allowed]], "Exceeded", "Ok")</f>
        <v>Ok</v>
      </c>
    </row>
    <row r="47" spans="1:21" ht="15.6" x14ac:dyDescent="0.3">
      <c r="A47" s="1" t="s">
        <v>56</v>
      </c>
      <c r="B47" s="1">
        <v>8</v>
      </c>
      <c r="C47" s="1">
        <v>12</v>
      </c>
      <c r="D47" s="1" t="str">
        <f>IF(Table9[[#This Row],[Leaves Taken]]&gt;Table9[[#This Row],[Leaves Allowed]], "Exceeded", "Ok")</f>
        <v>Ok</v>
      </c>
    </row>
    <row r="49" spans="1:15" ht="17.399999999999999" x14ac:dyDescent="0.35">
      <c r="A49" s="3" t="s">
        <v>59</v>
      </c>
      <c r="B49" s="3"/>
      <c r="C49" s="3"/>
      <c r="D49" s="3"/>
    </row>
    <row r="50" spans="1:15" ht="15.6" x14ac:dyDescent="0.3">
      <c r="A50" s="1" t="s">
        <v>30</v>
      </c>
      <c r="B50" s="1" t="s">
        <v>60</v>
      </c>
    </row>
    <row r="51" spans="1:15" ht="17.399999999999999" x14ac:dyDescent="0.35">
      <c r="A51" s="1" t="s">
        <v>36</v>
      </c>
      <c r="B51" s="1">
        <v>55000</v>
      </c>
      <c r="D51" s="8" t="s">
        <v>64</v>
      </c>
      <c r="E51" s="8"/>
      <c r="F51" s="8"/>
      <c r="G51" s="8"/>
      <c r="H51" s="8"/>
      <c r="I51" s="8"/>
      <c r="J51" s="8"/>
      <c r="K51" s="8"/>
    </row>
    <row r="52" spans="1:15" ht="17.399999999999999" x14ac:dyDescent="0.35">
      <c r="A52" s="1" t="s">
        <v>61</v>
      </c>
      <c r="B52" s="1">
        <v>72000</v>
      </c>
      <c r="D52" s="8" t="s">
        <v>71</v>
      </c>
      <c r="E52" s="8"/>
    </row>
    <row r="53" spans="1:15" ht="15.6" x14ac:dyDescent="0.3">
      <c r="A53" s="1" t="s">
        <v>62</v>
      </c>
      <c r="B53" s="1">
        <v>62000</v>
      </c>
    </row>
    <row r="54" spans="1:15" ht="15.6" x14ac:dyDescent="0.3">
      <c r="A54" s="1" t="s">
        <v>34</v>
      </c>
      <c r="B54" s="1">
        <v>41000</v>
      </c>
    </row>
    <row r="56" spans="1:15" ht="17.399999999999999" x14ac:dyDescent="0.35">
      <c r="A56" s="1" t="s">
        <v>63</v>
      </c>
      <c r="B56" s="8">
        <f>INDEX(Table10[Salary], MATCH("E105", Table10[EmpID], 0))</f>
        <v>72000</v>
      </c>
    </row>
    <row r="58" spans="1:15" ht="17.399999999999999" x14ac:dyDescent="0.35">
      <c r="A58" s="3" t="s">
        <v>65</v>
      </c>
      <c r="B58" s="3"/>
      <c r="C58" s="3"/>
      <c r="D58" s="3"/>
      <c r="E58" s="3"/>
    </row>
    <row r="59" spans="1:15" ht="15.6" x14ac:dyDescent="0.3">
      <c r="A59" s="1" t="s">
        <v>30</v>
      </c>
      <c r="B59" s="1" t="s">
        <v>60</v>
      </c>
    </row>
    <row r="60" spans="1:15" ht="17.399999999999999" x14ac:dyDescent="0.35">
      <c r="A60" s="1" t="s">
        <v>33</v>
      </c>
      <c r="B60" s="1" t="s">
        <v>41</v>
      </c>
      <c r="D60" s="8" t="s">
        <v>69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7.399999999999999" x14ac:dyDescent="0.35">
      <c r="A61" s="1" t="s">
        <v>66</v>
      </c>
      <c r="B61" s="1" t="s">
        <v>40</v>
      </c>
      <c r="D61" s="8" t="s">
        <v>72</v>
      </c>
      <c r="E61" s="8"/>
    </row>
    <row r="62" spans="1:15" ht="15.6" x14ac:dyDescent="0.3">
      <c r="A62" s="1" t="s">
        <v>62</v>
      </c>
      <c r="B62" s="1" t="s">
        <v>11</v>
      </c>
    </row>
    <row r="63" spans="1:15" ht="15.6" x14ac:dyDescent="0.3">
      <c r="A63" s="1" t="s">
        <v>67</v>
      </c>
      <c r="B63" s="1" t="s">
        <v>42</v>
      </c>
    </row>
    <row r="65" spans="1:2" ht="17.399999999999999" x14ac:dyDescent="0.35">
      <c r="A65" s="1" t="s">
        <v>68</v>
      </c>
      <c r="B65" s="8" t="str">
        <f>_xlfn.XLOOKUP("E303", Table11[EmpID], Table11[Salary], "Not Found", 0)</f>
        <v>IT</v>
      </c>
    </row>
  </sheetData>
  <phoneticPr fontId="5" type="noConversion"/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Wahid</dc:creator>
  <cp:lastModifiedBy>Abdul Wahid</cp:lastModifiedBy>
  <dcterms:created xsi:type="dcterms:W3CDTF">2026-02-18T05:24:22Z</dcterms:created>
  <dcterms:modified xsi:type="dcterms:W3CDTF">2026-02-18T20:55:07Z</dcterms:modified>
</cp:coreProperties>
</file>